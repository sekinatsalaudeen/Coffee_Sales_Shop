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0AC99F-C1EB-48F4-8CF6-8B6E94AA310C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Table1" sheetId="9" r:id="rId1"/>
    <sheet name="orders" sheetId="1" r:id="rId2"/>
    <sheet name="Cleaned_Items" sheetId="10" r:id="rId3"/>
    <sheet name="items" sheetId="2" r:id="rId4"/>
    <sheet name="recipes" sheetId="4" r:id="rId5"/>
    <sheet name="ingredients" sheetId="3" r:id="rId6"/>
    <sheet name="inventory" sheetId="5" r:id="rId7"/>
    <sheet name="staff" sheetId="6" r:id="rId8"/>
    <sheet name="shift" sheetId="7" r:id="rId9"/>
    <sheet name="rota" sheetId="8" r:id="rId10"/>
  </sheets>
  <definedNames>
    <definedName name="ExternalData_1" localSheetId="2" hidden="1">Cleaned_Items!$A$1:$F$30</definedName>
    <definedName name="ExternalData_1" localSheetId="0" hidden="1">Table1!$A$1:$H$522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/>
  <c r="H59" i="1" a="1"/>
  <c r="H59" i="1" s="1"/>
  <c r="H60" i="1" a="1"/>
  <c r="H60" i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/>
  <c r="H67" i="1" a="1"/>
  <c r="H67" i="1" s="1"/>
  <c r="H68" i="1" a="1"/>
  <c r="H68" i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/>
  <c r="H75" i="1" a="1"/>
  <c r="H75" i="1" s="1"/>
  <c r="H76" i="1" a="1"/>
  <c r="H76" i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/>
  <c r="H91" i="1" a="1"/>
  <c r="H91" i="1" s="1"/>
  <c r="H92" i="1" a="1"/>
  <c r="H92" i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/>
  <c r="H147" i="1" a="1"/>
  <c r="H147" i="1" s="1"/>
  <c r="H148" i="1" a="1"/>
  <c r="H148" i="1"/>
  <c r="H149" i="1" a="1"/>
  <c r="H149" i="1" s="1"/>
  <c r="H150" i="1" a="1"/>
  <c r="H150" i="1" s="1"/>
  <c r="H151" i="1" a="1"/>
  <c r="H151" i="1" s="1"/>
  <c r="H152" i="1" a="1"/>
  <c r="H152" i="1"/>
  <c r="H153" i="1" a="1"/>
  <c r="H153" i="1" s="1"/>
  <c r="H154" i="1" a="1"/>
  <c r="H154" i="1"/>
  <c r="H155" i="1" a="1"/>
  <c r="H155" i="1" s="1"/>
  <c r="H156" i="1" a="1"/>
  <c r="H156" i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/>
  <c r="H171" i="1" a="1"/>
  <c r="H171" i="1" s="1"/>
  <c r="H172" i="1" a="1"/>
  <c r="H172" i="1"/>
  <c r="H173" i="1" a="1"/>
  <c r="H173" i="1" s="1"/>
  <c r="H174" i="1" a="1"/>
  <c r="H174" i="1" s="1"/>
  <c r="H175" i="1" a="1"/>
  <c r="H175" i="1"/>
  <c r="H176" i="1" a="1"/>
  <c r="H176" i="1" s="1"/>
  <c r="H177" i="1" a="1"/>
  <c r="H177" i="1" s="1"/>
  <c r="H178" i="1" a="1"/>
  <c r="H178" i="1" s="1"/>
  <c r="H179" i="1" a="1"/>
  <c r="H179" i="1"/>
  <c r="H180" i="1" a="1"/>
  <c r="H180" i="1" s="1"/>
  <c r="H181" i="1" a="1"/>
  <c r="H181" i="1" s="1"/>
  <c r="H182" i="1" a="1"/>
  <c r="H182" i="1" s="1"/>
  <c r="H183" i="1" a="1"/>
  <c r="H183" i="1"/>
  <c r="H184" i="1" a="1"/>
  <c r="H184" i="1" s="1"/>
  <c r="H185" i="1" a="1"/>
  <c r="H185" i="1" s="1"/>
  <c r="H186" i="1" a="1"/>
  <c r="H186" i="1" s="1"/>
  <c r="H187" i="1" a="1"/>
  <c r="H187" i="1"/>
  <c r="H188" i="1" a="1"/>
  <c r="H188" i="1" s="1"/>
  <c r="H189" i="1" a="1"/>
  <c r="H189" i="1" s="1"/>
  <c r="H190" i="1" a="1"/>
  <c r="H190" i="1" s="1"/>
  <c r="H191" i="1" a="1"/>
  <c r="H191" i="1"/>
  <c r="H192" i="1" a="1"/>
  <c r="H192" i="1" s="1"/>
  <c r="H193" i="1" a="1"/>
  <c r="H193" i="1" s="1"/>
  <c r="H194" i="1" a="1"/>
  <c r="H194" i="1" s="1"/>
  <c r="H195" i="1" a="1"/>
  <c r="H195" i="1"/>
  <c r="H196" i="1" a="1"/>
  <c r="H196" i="1" s="1"/>
  <c r="H197" i="1" a="1"/>
  <c r="H197" i="1" s="1"/>
  <c r="H198" i="1" a="1"/>
  <c r="H198" i="1" s="1"/>
  <c r="H199" i="1" a="1"/>
  <c r="H199" i="1"/>
  <c r="H200" i="1" a="1"/>
  <c r="H200" i="1" s="1"/>
  <c r="H201" i="1" a="1"/>
  <c r="H201" i="1" s="1"/>
  <c r="H202" i="1" a="1"/>
  <c r="H202" i="1" s="1"/>
  <c r="H203" i="1" a="1"/>
  <c r="H203" i="1"/>
  <c r="H204" i="1" a="1"/>
  <c r="H204" i="1" s="1"/>
  <c r="H205" i="1" a="1"/>
  <c r="H205" i="1" s="1"/>
  <c r="H206" i="1" a="1"/>
  <c r="H206" i="1" s="1"/>
  <c r="H207" i="1" a="1"/>
  <c r="H207" i="1"/>
  <c r="H208" i="1" a="1"/>
  <c r="H208" i="1" s="1"/>
  <c r="H209" i="1" a="1"/>
  <c r="H209" i="1" s="1"/>
  <c r="H210" i="1" a="1"/>
  <c r="H210" i="1" s="1"/>
  <c r="H211" i="1" a="1"/>
  <c r="H211" i="1"/>
  <c r="H212" i="1" a="1"/>
  <c r="H212" i="1" s="1"/>
  <c r="H213" i="1" a="1"/>
  <c r="H213" i="1" s="1"/>
  <c r="H214" i="1" a="1"/>
  <c r="H214" i="1" s="1"/>
  <c r="H215" i="1" a="1"/>
  <c r="H215" i="1"/>
  <c r="H216" i="1" a="1"/>
  <c r="H216" i="1" s="1"/>
  <c r="H217" i="1" a="1"/>
  <c r="H217" i="1" s="1"/>
  <c r="H218" i="1" a="1"/>
  <c r="H218" i="1" s="1"/>
  <c r="H219" i="1" a="1"/>
  <c r="H219" i="1"/>
  <c r="H220" i="1" a="1"/>
  <c r="H220" i="1" s="1"/>
  <c r="H221" i="1" a="1"/>
  <c r="H221" i="1" s="1"/>
  <c r="H222" i="1" a="1"/>
  <c r="H222" i="1" s="1"/>
  <c r="H223" i="1" a="1"/>
  <c r="H223" i="1"/>
  <c r="H224" i="1" a="1"/>
  <c r="H224" i="1" s="1"/>
  <c r="H225" i="1" a="1"/>
  <c r="H225" i="1" s="1"/>
  <c r="H226" i="1" a="1"/>
  <c r="H226" i="1" s="1"/>
  <c r="H227" i="1" a="1"/>
  <c r="H227" i="1"/>
  <c r="H228" i="1" a="1"/>
  <c r="H228" i="1" s="1"/>
  <c r="H229" i="1" a="1"/>
  <c r="H229" i="1" s="1"/>
  <c r="H230" i="1" a="1"/>
  <c r="H230" i="1" s="1"/>
  <c r="H231" i="1" a="1"/>
  <c r="H231" i="1"/>
  <c r="H232" i="1" a="1"/>
  <c r="H232" i="1" s="1"/>
  <c r="H233" i="1" a="1"/>
  <c r="H233" i="1" s="1"/>
  <c r="H234" i="1" a="1"/>
  <c r="H234" i="1" s="1"/>
  <c r="H235" i="1" a="1"/>
  <c r="H235" i="1"/>
  <c r="H236" i="1" a="1"/>
  <c r="H236" i="1" s="1"/>
  <c r="H237" i="1" a="1"/>
  <c r="H237" i="1" s="1"/>
  <c r="H238" i="1" a="1"/>
  <c r="H238" i="1" s="1"/>
  <c r="H239" i="1" a="1"/>
  <c r="H239" i="1"/>
  <c r="H240" i="1" a="1"/>
  <c r="H240" i="1" s="1"/>
  <c r="H241" i="1" a="1"/>
  <c r="H241" i="1" s="1"/>
  <c r="H242" i="1" a="1"/>
  <c r="H242" i="1" s="1"/>
  <c r="H243" i="1" a="1"/>
  <c r="H243" i="1"/>
  <c r="H244" i="1" a="1"/>
  <c r="H244" i="1" s="1"/>
  <c r="H245" i="1" a="1"/>
  <c r="H245" i="1" s="1"/>
  <c r="H246" i="1" a="1"/>
  <c r="H246" i="1" s="1"/>
  <c r="H247" i="1" a="1"/>
  <c r="H247" i="1"/>
  <c r="H248" i="1" a="1"/>
  <c r="H248" i="1" s="1"/>
  <c r="H249" i="1" a="1"/>
  <c r="H249" i="1" s="1"/>
  <c r="H250" i="1" a="1"/>
  <c r="H250" i="1" s="1"/>
  <c r="H251" i="1" a="1"/>
  <c r="H251" i="1"/>
  <c r="H252" i="1" a="1"/>
  <c r="H252" i="1" s="1"/>
  <c r="H253" i="1" a="1"/>
  <c r="H253" i="1" s="1"/>
  <c r="H254" i="1" a="1"/>
  <c r="H254" i="1" s="1"/>
  <c r="H255" i="1" a="1"/>
  <c r="H255" i="1"/>
  <c r="H256" i="1" a="1"/>
  <c r="H256" i="1" s="1"/>
  <c r="H257" i="1" a="1"/>
  <c r="H257" i="1" s="1"/>
  <c r="H258" i="1" a="1"/>
  <c r="H258" i="1" s="1"/>
  <c r="H259" i="1" a="1"/>
  <c r="H259" i="1"/>
  <c r="H260" i="1" a="1"/>
  <c r="H260" i="1" s="1"/>
  <c r="H261" i="1" a="1"/>
  <c r="H261" i="1" s="1"/>
  <c r="H262" i="1" a="1"/>
  <c r="H262" i="1" s="1"/>
  <c r="H263" i="1" a="1"/>
  <c r="H263" i="1"/>
  <c r="H264" i="1" a="1"/>
  <c r="H264" i="1" s="1"/>
  <c r="H265" i="1" a="1"/>
  <c r="H265" i="1" s="1"/>
  <c r="H266" i="1" a="1"/>
  <c r="H266" i="1" s="1"/>
  <c r="H267" i="1" a="1"/>
  <c r="H267" i="1"/>
  <c r="H268" i="1" a="1"/>
  <c r="H268" i="1" s="1"/>
  <c r="H269" i="1" a="1"/>
  <c r="H269" i="1" s="1"/>
  <c r="H270" i="1" a="1"/>
  <c r="H270" i="1" s="1"/>
  <c r="H271" i="1" a="1"/>
  <c r="H271" i="1"/>
  <c r="H272" i="1" a="1"/>
  <c r="H272" i="1" s="1"/>
  <c r="H273" i="1" a="1"/>
  <c r="H273" i="1" s="1"/>
  <c r="H274" i="1" a="1"/>
  <c r="H274" i="1" s="1"/>
  <c r="H275" i="1" a="1"/>
  <c r="H275" i="1"/>
  <c r="H276" i="1" a="1"/>
  <c r="H276" i="1" s="1"/>
  <c r="H277" i="1" a="1"/>
  <c r="H277" i="1" s="1"/>
  <c r="H278" i="1" a="1"/>
  <c r="H278" i="1" s="1"/>
  <c r="H279" i="1" a="1"/>
  <c r="H279" i="1"/>
  <c r="H280" i="1" a="1"/>
  <c r="H280" i="1" s="1"/>
  <c r="H281" i="1" a="1"/>
  <c r="H281" i="1" s="1"/>
  <c r="H282" i="1" a="1"/>
  <c r="H282" i="1" s="1"/>
  <c r="H283" i="1" a="1"/>
  <c r="H283" i="1"/>
  <c r="H284" i="1" a="1"/>
  <c r="H284" i="1" s="1"/>
  <c r="H285" i="1" a="1"/>
  <c r="H285" i="1" s="1"/>
  <c r="H286" i="1" a="1"/>
  <c r="H286" i="1" s="1"/>
  <c r="H287" i="1" a="1"/>
  <c r="H287" i="1"/>
  <c r="H288" i="1" a="1"/>
  <c r="H288" i="1" s="1"/>
  <c r="H289" i="1" a="1"/>
  <c r="H289" i="1" s="1"/>
  <c r="H290" i="1" a="1"/>
  <c r="H290" i="1" s="1"/>
  <c r="H291" i="1" a="1"/>
  <c r="H291" i="1"/>
  <c r="H292" i="1" a="1"/>
  <c r="H292" i="1" s="1"/>
  <c r="H293" i="1" a="1"/>
  <c r="H293" i="1" s="1"/>
  <c r="H294" i="1" a="1"/>
  <c r="H294" i="1" s="1"/>
  <c r="H295" i="1" a="1"/>
  <c r="H295" i="1"/>
  <c r="H296" i="1" a="1"/>
  <c r="H296" i="1" s="1"/>
  <c r="H297" i="1" a="1"/>
  <c r="H297" i="1" s="1"/>
  <c r="H298" i="1" a="1"/>
  <c r="H298" i="1" s="1"/>
  <c r="H299" i="1" a="1"/>
  <c r="H299" i="1"/>
  <c r="H300" i="1" a="1"/>
  <c r="H300" i="1" s="1"/>
  <c r="H301" i="1" a="1"/>
  <c r="H301" i="1" s="1"/>
  <c r="H302" i="1" a="1"/>
  <c r="H302" i="1" s="1"/>
  <c r="H303" i="1" a="1"/>
  <c r="H303" i="1"/>
  <c r="H304" i="1" a="1"/>
  <c r="H304" i="1" s="1"/>
  <c r="H305" i="1" a="1"/>
  <c r="H305" i="1" s="1"/>
  <c r="H306" i="1" a="1"/>
  <c r="H306" i="1" s="1"/>
  <c r="H307" i="1" a="1"/>
  <c r="H307" i="1"/>
  <c r="H308" i="1" a="1"/>
  <c r="H308" i="1" s="1"/>
  <c r="H309" i="1" a="1"/>
  <c r="H309" i="1" s="1"/>
  <c r="H310" i="1" a="1"/>
  <c r="H310" i="1" s="1"/>
  <c r="H311" i="1" a="1"/>
  <c r="H311" i="1"/>
  <c r="H312" i="1" a="1"/>
  <c r="H312" i="1" s="1"/>
  <c r="H313" i="1" a="1"/>
  <c r="H313" i="1" s="1"/>
  <c r="H314" i="1" a="1"/>
  <c r="H314" i="1" s="1"/>
  <c r="H315" i="1" a="1"/>
  <c r="H315" i="1"/>
  <c r="H316" i="1" a="1"/>
  <c r="H316" i="1" s="1"/>
  <c r="H317" i="1" a="1"/>
  <c r="H317" i="1" s="1"/>
  <c r="H318" i="1" a="1"/>
  <c r="H318" i="1" s="1"/>
  <c r="H319" i="1" a="1"/>
  <c r="H319" i="1"/>
  <c r="H320" i="1" a="1"/>
  <c r="H320" i="1" s="1"/>
  <c r="H321" i="1" a="1"/>
  <c r="H321" i="1" s="1"/>
  <c r="H322" i="1" a="1"/>
  <c r="H322" i="1" s="1"/>
  <c r="H323" i="1" a="1"/>
  <c r="H323" i="1"/>
  <c r="H324" i="1" a="1"/>
  <c r="H324" i="1" s="1"/>
  <c r="H325" i="1" a="1"/>
  <c r="H325" i="1" s="1"/>
  <c r="H326" i="1" a="1"/>
  <c r="H326" i="1" s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68" i="1" a="1"/>
  <c r="H368" i="1"/>
  <c r="H369" i="1" a="1"/>
  <c r="H369" i="1" s="1"/>
  <c r="H370" i="1" a="1"/>
  <c r="H370" i="1"/>
  <c r="H371" i="1" a="1"/>
  <c r="H371" i="1" s="1"/>
  <c r="H372" i="1" a="1"/>
  <c r="H372" i="1"/>
  <c r="H373" i="1" a="1"/>
  <c r="H373" i="1" s="1"/>
  <c r="H374" i="1" a="1"/>
  <c r="H374" i="1"/>
  <c r="H375" i="1" a="1"/>
  <c r="H375" i="1" s="1"/>
  <c r="H376" i="1" a="1"/>
  <c r="H376" i="1"/>
  <c r="H377" i="1" a="1"/>
  <c r="H377" i="1" s="1"/>
  <c r="H378" i="1" a="1"/>
  <c r="H378" i="1"/>
  <c r="H379" i="1" a="1"/>
  <c r="H379" i="1" s="1"/>
  <c r="H380" i="1" a="1"/>
  <c r="H380" i="1"/>
  <c r="H381" i="1" a="1"/>
  <c r="H381" i="1" s="1"/>
  <c r="H382" i="1" a="1"/>
  <c r="H382" i="1"/>
  <c r="H383" i="1" a="1"/>
  <c r="H383" i="1" s="1"/>
  <c r="H384" i="1" a="1"/>
  <c r="H384" i="1"/>
  <c r="H385" i="1" a="1"/>
  <c r="H385" i="1" s="1"/>
  <c r="H386" i="1" a="1"/>
  <c r="H386" i="1"/>
  <c r="H387" i="1" a="1"/>
  <c r="H387" i="1" s="1"/>
  <c r="H388" i="1" a="1"/>
  <c r="H388" i="1"/>
  <c r="H389" i="1" a="1"/>
  <c r="H389" i="1" s="1"/>
  <c r="H390" i="1" a="1"/>
  <c r="H390" i="1"/>
  <c r="H391" i="1" a="1"/>
  <c r="H391" i="1" s="1"/>
  <c r="H392" i="1" a="1"/>
  <c r="H392" i="1"/>
  <c r="H393" i="1" a="1"/>
  <c r="H393" i="1" s="1"/>
  <c r="H394" i="1" a="1"/>
  <c r="H394" i="1"/>
  <c r="H395" i="1" a="1"/>
  <c r="H395" i="1" s="1"/>
  <c r="H396" i="1" a="1"/>
  <c r="H396" i="1"/>
  <c r="H397" i="1" a="1"/>
  <c r="H397" i="1" s="1"/>
  <c r="H398" i="1" a="1"/>
  <c r="H398" i="1"/>
  <c r="H399" i="1" a="1"/>
  <c r="H399" i="1" s="1"/>
  <c r="H400" i="1" a="1"/>
  <c r="H400" i="1"/>
  <c r="H401" i="1" a="1"/>
  <c r="H401" i="1" s="1"/>
  <c r="H402" i="1" a="1"/>
  <c r="H402" i="1"/>
  <c r="H403" i="1" a="1"/>
  <c r="H403" i="1" s="1"/>
  <c r="H404" i="1" a="1"/>
  <c r="H404" i="1"/>
  <c r="H405" i="1" a="1"/>
  <c r="H405" i="1" s="1"/>
  <c r="H406" i="1" a="1"/>
  <c r="H406" i="1"/>
  <c r="H407" i="1" a="1"/>
  <c r="H407" i="1" s="1"/>
  <c r="H408" i="1" a="1"/>
  <c r="H408" i="1"/>
  <c r="H409" i="1" a="1"/>
  <c r="H409" i="1" s="1"/>
  <c r="H410" i="1" a="1"/>
  <c r="H410" i="1"/>
  <c r="H411" i="1" a="1"/>
  <c r="H411" i="1" s="1"/>
  <c r="H412" i="1" a="1"/>
  <c r="H412" i="1"/>
  <c r="H413" i="1" a="1"/>
  <c r="H413" i="1" s="1"/>
  <c r="H414" i="1" a="1"/>
  <c r="H414" i="1"/>
  <c r="H415" i="1" a="1"/>
  <c r="H415" i="1" s="1"/>
  <c r="H416" i="1" a="1"/>
  <c r="H416" i="1"/>
  <c r="H417" i="1" a="1"/>
  <c r="H417" i="1" s="1"/>
  <c r="H418" i="1" a="1"/>
  <c r="H418" i="1"/>
  <c r="H419" i="1" a="1"/>
  <c r="H419" i="1" s="1"/>
  <c r="H420" i="1" a="1"/>
  <c r="H420" i="1"/>
  <c r="H421" i="1" a="1"/>
  <c r="H421" i="1" s="1"/>
  <c r="H422" i="1" a="1"/>
  <c r="H422" i="1"/>
  <c r="H423" i="1" a="1"/>
  <c r="H423" i="1" s="1"/>
  <c r="H424" i="1" a="1"/>
  <c r="H424" i="1"/>
  <c r="H425" i="1" a="1"/>
  <c r="H425" i="1" s="1"/>
  <c r="H426" i="1" a="1"/>
  <c r="H426" i="1"/>
  <c r="H427" i="1" a="1"/>
  <c r="H427" i="1" s="1"/>
  <c r="H428" i="1" a="1"/>
  <c r="H428" i="1"/>
  <c r="H429" i="1" a="1"/>
  <c r="H429" i="1" s="1"/>
  <c r="H430" i="1" a="1"/>
  <c r="H430" i="1"/>
  <c r="H431" i="1" a="1"/>
  <c r="H431" i="1" s="1"/>
  <c r="H432" i="1" a="1"/>
  <c r="H432" i="1"/>
  <c r="H433" i="1" a="1"/>
  <c r="H433" i="1" s="1"/>
  <c r="H434" i="1" a="1"/>
  <c r="H434" i="1"/>
  <c r="H435" i="1" a="1"/>
  <c r="H435" i="1" s="1"/>
  <c r="H436" i="1" a="1"/>
  <c r="H436" i="1"/>
  <c r="H437" i="1" a="1"/>
  <c r="H437" i="1" s="1"/>
  <c r="H438" i="1" a="1"/>
  <c r="H438" i="1"/>
  <c r="H439" i="1" a="1"/>
  <c r="H439" i="1" s="1"/>
  <c r="H440" i="1" a="1"/>
  <c r="H440" i="1"/>
  <c r="H441" i="1" a="1"/>
  <c r="H441" i="1" s="1"/>
  <c r="H442" i="1" a="1"/>
  <c r="H442" i="1"/>
  <c r="H443" i="1" a="1"/>
  <c r="H443" i="1" s="1"/>
  <c r="H444" i="1" a="1"/>
  <c r="H444" i="1"/>
  <c r="H445" i="1" a="1"/>
  <c r="H445" i="1" s="1"/>
  <c r="H446" i="1" a="1"/>
  <c r="H446" i="1"/>
  <c r="H447" i="1" a="1"/>
  <c r="H447" i="1" s="1"/>
  <c r="H448" i="1" a="1"/>
  <c r="H448" i="1"/>
  <c r="H449" i="1" a="1"/>
  <c r="H449" i="1" s="1"/>
  <c r="H450" i="1" a="1"/>
  <c r="H450" i="1"/>
  <c r="H451" i="1" a="1"/>
  <c r="H451" i="1" s="1"/>
  <c r="H452" i="1" a="1"/>
  <c r="H452" i="1"/>
  <c r="H453" i="1" a="1"/>
  <c r="H453" i="1" s="1"/>
  <c r="H454" i="1" a="1"/>
  <c r="H454" i="1"/>
  <c r="H455" i="1" a="1"/>
  <c r="H455" i="1" s="1"/>
  <c r="H456" i="1" a="1"/>
  <c r="H456" i="1"/>
  <c r="H457" i="1" a="1"/>
  <c r="H457" i="1" s="1"/>
  <c r="H458" i="1" a="1"/>
  <c r="H458" i="1"/>
  <c r="H459" i="1" a="1"/>
  <c r="H459" i="1" s="1"/>
  <c r="H460" i="1" a="1"/>
  <c r="H460" i="1"/>
  <c r="H461" i="1" a="1"/>
  <c r="H461" i="1" s="1"/>
  <c r="H462" i="1" a="1"/>
  <c r="H462" i="1"/>
  <c r="H463" i="1" a="1"/>
  <c r="H463" i="1" s="1"/>
  <c r="H464" i="1" a="1"/>
  <c r="H464" i="1"/>
  <c r="H465" i="1" a="1"/>
  <c r="H465" i="1" s="1"/>
  <c r="H466" i="1" a="1"/>
  <c r="H466" i="1"/>
  <c r="H467" i="1" a="1"/>
  <c r="H467" i="1" s="1"/>
  <c r="H468" i="1" a="1"/>
  <c r="H468" i="1"/>
  <c r="H469" i="1" a="1"/>
  <c r="H469" i="1" s="1"/>
  <c r="H470" i="1" a="1"/>
  <c r="H470" i="1"/>
  <c r="H471" i="1" a="1"/>
  <c r="H471" i="1" s="1"/>
  <c r="H472" i="1" a="1"/>
  <c r="H472" i="1"/>
  <c r="H473" i="1" a="1"/>
  <c r="H473" i="1" s="1"/>
  <c r="H474" i="1" a="1"/>
  <c r="H474" i="1"/>
  <c r="H475" i="1" a="1"/>
  <c r="H475" i="1" s="1"/>
  <c r="H476" i="1" a="1"/>
  <c r="H476" i="1"/>
  <c r="H477" i="1" a="1"/>
  <c r="H477" i="1" s="1"/>
  <c r="H478" i="1" a="1"/>
  <c r="H478" i="1"/>
  <c r="H479" i="1" a="1"/>
  <c r="H479" i="1" s="1"/>
  <c r="H480" i="1" a="1"/>
  <c r="H480" i="1"/>
  <c r="H481" i="1" a="1"/>
  <c r="H481" i="1" s="1"/>
  <c r="H482" i="1" a="1"/>
  <c r="H482" i="1"/>
  <c r="H483" i="1" a="1"/>
  <c r="H483" i="1" s="1"/>
  <c r="H484" i="1" a="1"/>
  <c r="H484" i="1"/>
  <c r="H485" i="1" a="1"/>
  <c r="H485" i="1" s="1"/>
  <c r="H486" i="1" a="1"/>
  <c r="H486" i="1"/>
  <c r="H487" i="1" a="1"/>
  <c r="H487" i="1" s="1"/>
  <c r="H488" i="1" a="1"/>
  <c r="H488" i="1"/>
  <c r="H489" i="1" a="1"/>
  <c r="H489" i="1" s="1"/>
  <c r="H490" i="1" a="1"/>
  <c r="H490" i="1"/>
  <c r="H491" i="1" a="1"/>
  <c r="H491" i="1" s="1"/>
  <c r="H492" i="1" a="1"/>
  <c r="H492" i="1"/>
  <c r="H493" i="1" a="1"/>
  <c r="H493" i="1" s="1"/>
  <c r="H494" i="1" a="1"/>
  <c r="H494" i="1"/>
  <c r="H495" i="1" a="1"/>
  <c r="H495" i="1" s="1"/>
  <c r="H496" i="1" a="1"/>
  <c r="H496" i="1"/>
  <c r="H497" i="1" a="1"/>
  <c r="H497" i="1" s="1"/>
  <c r="H498" i="1" a="1"/>
  <c r="H498" i="1"/>
  <c r="H499" i="1" a="1"/>
  <c r="H499" i="1" s="1"/>
  <c r="H500" i="1" a="1"/>
  <c r="H500" i="1"/>
  <c r="H501" i="1" a="1"/>
  <c r="H501" i="1" s="1"/>
  <c r="H502" i="1" a="1"/>
  <c r="H502" i="1"/>
  <c r="H503" i="1" a="1"/>
  <c r="H503" i="1" s="1"/>
  <c r="H504" i="1" a="1"/>
  <c r="H504" i="1"/>
  <c r="H505" i="1" a="1"/>
  <c r="H505" i="1" s="1"/>
  <c r="H506" i="1" a="1"/>
  <c r="H506" i="1"/>
  <c r="H507" i="1" a="1"/>
  <c r="H507" i="1" s="1"/>
  <c r="H508" i="1" a="1"/>
  <c r="H508" i="1"/>
  <c r="H509" i="1" a="1"/>
  <c r="H509" i="1" s="1"/>
  <c r="H510" i="1" a="1"/>
  <c r="H510" i="1"/>
  <c r="H511" i="1" a="1"/>
  <c r="H511" i="1" s="1"/>
  <c r="H512" i="1" a="1"/>
  <c r="H512" i="1"/>
  <c r="H513" i="1" a="1"/>
  <c r="H513" i="1" s="1"/>
  <c r="H514" i="1" a="1"/>
  <c r="H514" i="1"/>
  <c r="H515" i="1" a="1"/>
  <c r="H515" i="1" s="1"/>
  <c r="H516" i="1" a="1"/>
  <c r="H516" i="1"/>
  <c r="H517" i="1" a="1"/>
  <c r="H517" i="1" s="1"/>
  <c r="H518" i="1" a="1"/>
  <c r="H518" i="1"/>
  <c r="H519" i="1" a="1"/>
  <c r="H519" i="1" s="1"/>
  <c r="H520" i="1" a="1"/>
  <c r="H520" i="1"/>
  <c r="H521" i="1" a="1"/>
  <c r="H521" i="1" s="1"/>
  <c r="H522" i="1" a="1"/>
  <c r="H522" i="1"/>
  <c r="J5" i="1"/>
  <c r="J4" i="1"/>
  <c r="J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C3DFE-8863-4483-A765-CF95C82F9CC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A0F7593F-479D-48C7-B379-846AE6CE9D84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<sst xmlns="http://schemas.openxmlformats.org/spreadsheetml/2006/main" count="5317" uniqueCount="798">
  <si>
    <t>row_id</t>
  </si>
  <si>
    <t>order_id</t>
  </si>
  <si>
    <t>created_at</t>
  </si>
  <si>
    <t>item_id</t>
  </si>
  <si>
    <t>quantity</t>
  </si>
  <si>
    <t>cust_name</t>
  </si>
  <si>
    <t>in_or_out</t>
  </si>
  <si>
    <t>ORD001</t>
  </si>
  <si>
    <t>It008</t>
  </si>
  <si>
    <t>Alex</t>
  </si>
  <si>
    <t>out</t>
  </si>
  <si>
    <t>ORD002</t>
  </si>
  <si>
    <t>It014</t>
  </si>
  <si>
    <t>Jordan</t>
  </si>
  <si>
    <t>in</t>
  </si>
  <si>
    <t>ORD003</t>
  </si>
  <si>
    <t>Taylor</t>
  </si>
  <si>
    <t>ORD004</t>
  </si>
  <si>
    <t>It019</t>
  </si>
  <si>
    <t>Casey</t>
  </si>
  <si>
    <t>ORD005</t>
  </si>
  <si>
    <t>It024</t>
  </si>
  <si>
    <t>Jamie</t>
  </si>
  <si>
    <t>ORD006</t>
  </si>
  <si>
    <t>It001</t>
  </si>
  <si>
    <t>Morgan</t>
  </si>
  <si>
    <t>It016</t>
  </si>
  <si>
    <t>ORD007</t>
  </si>
  <si>
    <t>It005</t>
  </si>
  <si>
    <t>Riley</t>
  </si>
  <si>
    <t>It020</t>
  </si>
  <si>
    <t>ORD008</t>
  </si>
  <si>
    <t>It006</t>
  </si>
  <si>
    <t>Cameron</t>
  </si>
  <si>
    <t>It018</t>
  </si>
  <si>
    <t>ORD009</t>
  </si>
  <si>
    <t>It023</t>
  </si>
  <si>
    <t>Quinn</t>
  </si>
  <si>
    <t>It011</t>
  </si>
  <si>
    <t>ORD010</t>
  </si>
  <si>
    <t>Peyton</t>
  </si>
  <si>
    <t>ORD011</t>
  </si>
  <si>
    <t>It003</t>
  </si>
  <si>
    <t>Brooke</t>
  </si>
  <si>
    <t>ORD012</t>
  </si>
  <si>
    <t>It007</t>
  </si>
  <si>
    <t>Blake</t>
  </si>
  <si>
    <t>ORD013</t>
  </si>
  <si>
    <t>It009</t>
  </si>
  <si>
    <t>Charlie</t>
  </si>
  <si>
    <t>It021</t>
  </si>
  <si>
    <t>ORD014</t>
  </si>
  <si>
    <t>It012</t>
  </si>
  <si>
    <t>Dakota</t>
  </si>
  <si>
    <t>It022</t>
  </si>
  <si>
    <t>ORD015</t>
  </si>
  <si>
    <t>It004</t>
  </si>
  <si>
    <t>Emerson</t>
  </si>
  <si>
    <t>ORD016</t>
  </si>
  <si>
    <t>It002</t>
  </si>
  <si>
    <t>Finley</t>
  </si>
  <si>
    <t>ORD017</t>
  </si>
  <si>
    <t>Harper</t>
  </si>
  <si>
    <t>ORD018</t>
  </si>
  <si>
    <t>ORD019</t>
  </si>
  <si>
    <t>Kendall</t>
  </si>
  <si>
    <t>ORD020</t>
  </si>
  <si>
    <t>It017</t>
  </si>
  <si>
    <t>Logan</t>
  </si>
  <si>
    <t>ORD021</t>
  </si>
  <si>
    <t>ORD022</t>
  </si>
  <si>
    <t>Parker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</si>
  <si>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</si>
  <si>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</si>
  <si>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</si>
  <si>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</si>
  <si>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</si>
  <si>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</si>
  <si>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</si>
  <si>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</si>
  <si>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</si>
  <si>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</si>
  <si>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</si>
  <si>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It0010</t>
  </si>
  <si>
    <t>ORD034</t>
  </si>
  <si>
    <t>ORD035</t>
  </si>
  <si>
    <t>ORD036</t>
  </si>
  <si>
    <t>ORD037</t>
  </si>
  <si>
    <t>ORD038</t>
  </si>
  <si>
    <t>It015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</si>
  <si>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</si>
  <si>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</si>
  <si>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</si>
  <si>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</si>
  <si>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</si>
  <si>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</si>
  <si>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</si>
  <si>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</si>
  <si>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</si>
  <si>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</si>
  <si>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</si>
  <si>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</si>
  <si>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</si>
  <si>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</si>
  <si>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</si>
  <si>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Avery</t>
  </si>
  <si>
    <t>ORD054</t>
  </si>
  <si>
    <t>ORD055</t>
  </si>
  <si>
    <t>ORD056</t>
  </si>
  <si>
    <t>ORD057</t>
  </si>
  <si>
    <t>It013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</si>
  <si>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</si>
  <si>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</si>
  <si>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</si>
  <si>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</si>
  <si>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</si>
  <si>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</si>
  <si>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</si>
  <si>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</si>
  <si>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</si>
  <si>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</si>
  <si>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</si>
  <si>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</si>
  <si>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It010</t>
  </si>
  <si>
    <t>ORD070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</si>
  <si>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</si>
  <si>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</si>
  <si>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</si>
  <si>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</si>
  <si>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</si>
  <si>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</si>
  <si>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</si>
  <si>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</si>
  <si>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</si>
  <si>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</si>
  <si>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</si>
  <si>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</si>
  <si>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Sam</t>
  </si>
  <si>
    <t>ORD090</t>
  </si>
  <si>
    <t>Anna</t>
  </si>
  <si>
    <t>ORD091</t>
  </si>
  <si>
    <t>Chris</t>
  </si>
  <si>
    <t>It028</t>
  </si>
  <si>
    <t>ORD092</t>
  </si>
  <si>
    <t>Pat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</si>
  <si>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</si>
  <si>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</si>
  <si>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</si>
  <si>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</si>
  <si>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</si>
  <si>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</si>
  <si>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</si>
  <si>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</si>
  <si>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It027</t>
  </si>
  <si>
    <t>ORD101</t>
  </si>
  <si>
    <t>ORD102</t>
  </si>
  <si>
    <t>ORD103</t>
  </si>
  <si>
    <t>ORD104</t>
  </si>
  <si>
    <t>ORD105</t>
  </si>
  <si>
    <t>ORD106</t>
  </si>
  <si>
    <t>It026</t>
  </si>
  <si>
    <t>ORD107</t>
  </si>
  <si>
    <t>ORD108</t>
  </si>
  <si>
    <t>ORD109</t>
  </si>
  <si>
    <t>ORD110</t>
  </si>
  <si>
    <t>ORD111</t>
  </si>
  <si>
    <t>It025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</si>
  <si>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</si>
  <si>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</si>
  <si>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</si>
  <si>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</si>
  <si>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</si>
  <si>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</si>
  <si>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</si>
  <si>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</si>
  <si>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</si>
  <si>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</si>
  <si>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</si>
  <si>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</si>
  <si>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</si>
  <si>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</si>
  <si>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</si>
  <si>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</si>
  <si>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</si>
  <si>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</si>
  <si>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</si>
  <si>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</si>
  <si>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</si>
  <si>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</si>
  <si>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</si>
  <si>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</si>
  <si>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</si>
  <si>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</si>
  <si>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</si>
  <si>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</si>
  <si>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</si>
  <si>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</si>
  <si>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</si>
  <si>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</si>
  <si>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</si>
  <si>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</si>
  <si>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</si>
  <si>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</si>
  <si>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</si>
  <si>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</si>
  <si>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</si>
  <si>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</si>
  <si>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</si>
  <si>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</si>
  <si>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</si>
  <si>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</si>
  <si>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</si>
  <si>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</si>
  <si>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</si>
  <si>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</si>
  <si>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Elvis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</si>
  <si>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</si>
  <si>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</si>
  <si>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</si>
  <si>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</si>
  <si>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</si>
  <si>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</si>
  <si>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</si>
  <si>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</si>
  <si>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</si>
  <si>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</si>
  <si>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</si>
  <si>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</si>
  <si>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</si>
  <si>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</si>
  <si>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</si>
  <si>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</si>
  <si>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</si>
  <si>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</si>
  <si>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</si>
  <si>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</si>
  <si>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</si>
  <si>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</si>
  <si>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</si>
  <si>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</si>
  <si>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</si>
  <si>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</si>
  <si>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</si>
  <si>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</si>
  <si>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</si>
  <si>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</si>
  <si>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</si>
  <si>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</si>
  <si>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</si>
  <si>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</si>
  <si>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</si>
  <si>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</si>
  <si>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</si>
  <si>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</si>
  <si>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</si>
  <si>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</si>
  <si>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</si>
  <si>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</si>
  <si>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</si>
  <si>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</si>
  <si>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</si>
  <si>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</si>
  <si>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</si>
  <si>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</si>
  <si>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</si>
  <si>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</si>
  <si>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</si>
  <si>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</si>
  <si>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</si>
  <si>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</si>
  <si>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</si>
  <si>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</si>
  <si>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</si>
  <si>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</si>
  <si>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</si>
  <si>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</si>
  <si>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</si>
  <si>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</si>
  <si>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</si>
  <si>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</si>
  <si>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</si>
  <si>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Bob</t>
  </si>
  <si>
    <t>ORD225</t>
  </si>
  <si>
    <t>Carol</t>
  </si>
  <si>
    <t>ORD226</t>
  </si>
  <si>
    <t>Dave</t>
  </si>
  <si>
    <t>ORD227</t>
  </si>
  <si>
    <t>Eve</t>
  </si>
  <si>
    <t>ORD228</t>
  </si>
  <si>
    <t>Frank</t>
  </si>
  <si>
    <t>ORD229</t>
  </si>
  <si>
    <t>Grace</t>
  </si>
  <si>
    <t>ORD230</t>
  </si>
  <si>
    <t>Helen</t>
  </si>
  <si>
    <t>ORD231</t>
  </si>
  <si>
    <t>Ian</t>
  </si>
  <si>
    <t>ORD232</t>
  </si>
  <si>
    <t>Jenny</t>
  </si>
  <si>
    <t>ORD233</t>
  </si>
  <si>
    <t>Kyle</t>
  </si>
  <si>
    <t>ORD234</t>
  </si>
  <si>
    <t>Laura</t>
  </si>
  <si>
    <t>ORD235</t>
  </si>
  <si>
    <t>Mike</t>
  </si>
  <si>
    <t>ORD236</t>
  </si>
  <si>
    <t>Nina</t>
  </si>
  <si>
    <t>ORD237</t>
  </si>
  <si>
    <t>Oscar</t>
  </si>
  <si>
    <t>ORD238</t>
  </si>
  <si>
    <t>Paula</t>
  </si>
  <si>
    <t>ORD239</t>
  </si>
  <si>
    <t>ORD240</t>
  </si>
  <si>
    <t>Rachel</t>
  </si>
  <si>
    <t>ORD241</t>
  </si>
  <si>
    <t>Steve</t>
  </si>
  <si>
    <t>ORD242</t>
  </si>
  <si>
    <t>Tina</t>
  </si>
  <si>
    <t>ORD243</t>
  </si>
  <si>
    <t>Umar</t>
  </si>
  <si>
    <t>ORD244</t>
  </si>
  <si>
    <t>Victor</t>
  </si>
  <si>
    <t>ORD245</t>
  </si>
  <si>
    <t>Wendy</t>
  </si>
  <si>
    <t>ORD246</t>
  </si>
  <si>
    <t>Alice</t>
  </si>
  <si>
    <t>ORD247</t>
  </si>
  <si>
    <t>ORD248</t>
  </si>
  <si>
    <t>ORD249</t>
  </si>
  <si>
    <t>Dana</t>
  </si>
  <si>
    <t>ORD250</t>
  </si>
  <si>
    <t>Evan</t>
  </si>
  <si>
    <t>ORD251</t>
  </si>
  <si>
    <t>Fiona</t>
  </si>
  <si>
    <t>ORD252</t>
  </si>
  <si>
    <t>George</t>
  </si>
  <si>
    <t>ORD253</t>
  </si>
  <si>
    <t>Hannah</t>
  </si>
  <si>
    <t>ORD254</t>
  </si>
  <si>
    <t>ORD255</t>
  </si>
  <si>
    <t>Jake</t>
  </si>
  <si>
    <t>ORD256</t>
  </si>
  <si>
    <t>Karen</t>
  </si>
  <si>
    <t>ORD257</t>
  </si>
  <si>
    <t>Leo</t>
  </si>
  <si>
    <t>ORD258</t>
  </si>
  <si>
    <t>Mia</t>
  </si>
  <si>
    <t>ORD259</t>
  </si>
  <si>
    <t>Noah</t>
  </si>
  <si>
    <t>ORD260</t>
  </si>
  <si>
    <t>Olivia</t>
  </si>
  <si>
    <t>ORD261</t>
  </si>
  <si>
    <t>Paul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</si>
  <si>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</si>
  <si>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</si>
  <si>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</si>
  <si>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</si>
  <si>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</si>
  <si>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</si>
  <si>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</si>
  <si>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</si>
  <si>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Xavier</t>
  </si>
  <si>
    <t>ORD270</t>
  </si>
  <si>
    <t>Yara</t>
  </si>
  <si>
    <t>ORD271</t>
  </si>
  <si>
    <t>Zoe</t>
  </si>
  <si>
    <t>ORD272</t>
  </si>
  <si>
    <t>Amy</t>
  </si>
  <si>
    <t>ORD273</t>
  </si>
  <si>
    <t>Brad</t>
  </si>
  <si>
    <t>ORD274</t>
  </si>
  <si>
    <t>Cindy</t>
  </si>
  <si>
    <t>ORD275</t>
  </si>
  <si>
    <t>Derek</t>
  </si>
  <si>
    <t>ORD276</t>
  </si>
  <si>
    <t>Eliza</t>
  </si>
  <si>
    <t>ORD277</t>
  </si>
  <si>
    <t>ORD278</t>
  </si>
  <si>
    <t>Gigi</t>
  </si>
  <si>
    <t>ORD279</t>
  </si>
  <si>
    <t>Hugo</t>
  </si>
  <si>
    <t>ORD280</t>
  </si>
  <si>
    <t>Ivy</t>
  </si>
  <si>
    <t>ORD281</t>
  </si>
  <si>
    <t>ORD282</t>
  </si>
  <si>
    <t>Kara</t>
  </si>
  <si>
    <t>ORD283</t>
  </si>
  <si>
    <t>Liam</t>
  </si>
  <si>
    <t>ORD284</t>
  </si>
  <si>
    <t>ORD285</t>
  </si>
  <si>
    <t>Noel</t>
  </si>
  <si>
    <t>ORD286</t>
  </si>
  <si>
    <t>Ophelia</t>
  </si>
  <si>
    <t>ORD287</t>
  </si>
  <si>
    <t>Pablo</t>
  </si>
  <si>
    <t>ORD288</t>
  </si>
  <si>
    <t>ORD289</t>
  </si>
  <si>
    <t>Rita</t>
  </si>
  <si>
    <t>ORD290</t>
  </si>
  <si>
    <t>Sarah</t>
  </si>
  <si>
    <t>ORD291</t>
  </si>
  <si>
    <t>ORD292</t>
  </si>
  <si>
    <t>Lucy</t>
  </si>
  <si>
    <t>ORD293</t>
  </si>
  <si>
    <t>Tony</t>
  </si>
  <si>
    <t>ORD294</t>
  </si>
  <si>
    <t>ORD295</t>
  </si>
  <si>
    <t>Greg</t>
  </si>
  <si>
    <t>ORD296</t>
  </si>
  <si>
    <t>ORD297</t>
  </si>
  <si>
    <t>Ivan</t>
  </si>
  <si>
    <t>ORD298</t>
  </si>
  <si>
    <t>Julia</t>
  </si>
  <si>
    <t>ORD299</t>
  </si>
  <si>
    <t>Karl</t>
  </si>
  <si>
    <t>ORD300</t>
  </si>
  <si>
    <t>Leah</t>
  </si>
  <si>
    <t>ORD301</t>
  </si>
  <si>
    <t>Max</t>
  </si>
  <si>
    <t>ORD302</t>
  </si>
  <si>
    <t>Nora</t>
  </si>
  <si>
    <t>ORD303</t>
  </si>
  <si>
    <t>ORD304</t>
  </si>
  <si>
    <t>ORD305</t>
  </si>
  <si>
    <t>ORD306</t>
  </si>
  <si>
    <t>ORD307</t>
  </si>
  <si>
    <t>ORD308</t>
  </si>
  <si>
    <t>ORD309</t>
  </si>
  <si>
    <t>Uma</t>
  </si>
  <si>
    <t>ORD310</t>
  </si>
  <si>
    <t>ORD311</t>
  </si>
  <si>
    <t>ORD312</t>
  </si>
  <si>
    <t>Xander</t>
  </si>
  <si>
    <t>ORD313</t>
  </si>
  <si>
    <t>ORD314</t>
  </si>
  <si>
    <t>Zack</t>
  </si>
  <si>
    <t>ORD315</t>
  </si>
  <si>
    <t>ORD316</t>
  </si>
  <si>
    <t>Ben</t>
  </si>
  <si>
    <t>ORD317</t>
  </si>
  <si>
    <t>Carla</t>
  </si>
  <si>
    <t>ORD318</t>
  </si>
  <si>
    <t>David</t>
  </si>
  <si>
    <t>ORD319</t>
  </si>
  <si>
    <t>Elena</t>
  </si>
  <si>
    <t>ORD320</t>
  </si>
  <si>
    <t>ORD321</t>
  </si>
  <si>
    <t>Gina</t>
  </si>
  <si>
    <t>ORD322</t>
  </si>
  <si>
    <t>Harry</t>
  </si>
  <si>
    <t>ORD323</t>
  </si>
  <si>
    <t>Iris</t>
  </si>
  <si>
    <t>ORD324</t>
  </si>
  <si>
    <t>Jack</t>
  </si>
  <si>
    <t>ORD325</t>
  </si>
  <si>
    <t>Kiera</t>
  </si>
  <si>
    <t>ORD326</t>
  </si>
  <si>
    <t>Luke</t>
  </si>
  <si>
    <t>ORD327</t>
  </si>
  <si>
    <t>ORD328</t>
  </si>
  <si>
    <t>Nia</t>
  </si>
  <si>
    <t>ORD329</t>
  </si>
  <si>
    <t>ORD330</t>
  </si>
  <si>
    <t>Priya</t>
  </si>
  <si>
    <t>ORD331</t>
  </si>
  <si>
    <t>ORD332</t>
  </si>
  <si>
    <t>Ravi</t>
  </si>
  <si>
    <t>ORD333</t>
  </si>
  <si>
    <t>ORD334</t>
  </si>
  <si>
    <t>Tim</t>
  </si>
  <si>
    <t>ORD335</t>
  </si>
  <si>
    <t>ORD336</t>
  </si>
  <si>
    <t>Vicky</t>
  </si>
  <si>
    <t>ORD337</t>
  </si>
  <si>
    <t>ORD338</t>
  </si>
  <si>
    <t>Xian</t>
  </si>
  <si>
    <t>ORD339</t>
  </si>
  <si>
    <t>ORD340</t>
  </si>
  <si>
    <t>ORD341</t>
  </si>
  <si>
    <t>Amelia</t>
  </si>
  <si>
    <t>ORD342</t>
  </si>
  <si>
    <t>ORD343</t>
  </si>
  <si>
    <t>ORD344</t>
  </si>
  <si>
    <t>ORD345</t>
  </si>
  <si>
    <t>ORD346</t>
  </si>
  <si>
    <t>Faisal</t>
  </si>
  <si>
    <t>ORD347</t>
  </si>
  <si>
    <t>Georgia</t>
  </si>
  <si>
    <t>ORD348</t>
  </si>
  <si>
    <t>Haris</t>
  </si>
  <si>
    <t>ORD349</t>
  </si>
  <si>
    <t>Ida</t>
  </si>
  <si>
    <t>ORD350</t>
  </si>
  <si>
    <t>Jaya</t>
  </si>
  <si>
    <t>ORD351</t>
  </si>
  <si>
    <t>Kurt</t>
  </si>
  <si>
    <t>ORD352</t>
  </si>
  <si>
    <t>Lana</t>
  </si>
  <si>
    <t>ORD353</t>
  </si>
  <si>
    <t>Moe</t>
  </si>
  <si>
    <t>ORD354</t>
  </si>
  <si>
    <t>ORD355</t>
  </si>
  <si>
    <t>Jenna</t>
  </si>
  <si>
    <t>ORD356</t>
  </si>
  <si>
    <t>Keith</t>
  </si>
  <si>
    <t>ORD357</t>
  </si>
  <si>
    <t>Lila</t>
  </si>
  <si>
    <t>ORD358</t>
  </si>
  <si>
    <t>Mason</t>
  </si>
  <si>
    <t>ORD359</t>
  </si>
  <si>
    <t>ORD360</t>
  </si>
  <si>
    <t>Susie</t>
  </si>
  <si>
    <t>ORD361</t>
  </si>
  <si>
    <t>Tom</t>
  </si>
  <si>
    <t>ORD362</t>
  </si>
  <si>
    <t>Ulla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</si>
  <si>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</si>
  <si>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</si>
  <si>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</si>
  <si>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</si>
  <si>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</si>
  <si>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</si>
  <si>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</si>
  <si>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</si>
  <si>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Cara</t>
  </si>
  <si>
    <t>ORD371</t>
  </si>
  <si>
    <t>Dan</t>
  </si>
  <si>
    <t>ORD372</t>
  </si>
  <si>
    <t>ORD373</t>
  </si>
  <si>
    <t>Finn</t>
  </si>
  <si>
    <t>ORD374</t>
  </si>
  <si>
    <t>Gia</t>
  </si>
  <si>
    <t>ORD375</t>
  </si>
  <si>
    <t>Hal</t>
  </si>
  <si>
    <t>ORD376</t>
  </si>
  <si>
    <t>ORD377</t>
  </si>
  <si>
    <t>Jed</t>
  </si>
  <si>
    <t>ORD378</t>
  </si>
  <si>
    <t>Kip</t>
  </si>
  <si>
    <t>ORD379</t>
  </si>
  <si>
    <t>Lia</t>
  </si>
  <si>
    <t>ORD380</t>
  </si>
  <si>
    <t>ORD381</t>
  </si>
  <si>
    <t>ORD382</t>
  </si>
  <si>
    <t>Oli</t>
  </si>
  <si>
    <t>ORD383</t>
  </si>
  <si>
    <t>Pam</t>
  </si>
  <si>
    <t>ORD384</t>
  </si>
  <si>
    <t>Quin</t>
  </si>
  <si>
    <t>ORD385</t>
  </si>
  <si>
    <t>Rae</t>
  </si>
  <si>
    <t>ORD386</t>
  </si>
  <si>
    <t>ORD387</t>
  </si>
  <si>
    <t>Ty</t>
  </si>
  <si>
    <t>ORD388</t>
  </si>
  <si>
    <t>ORD389</t>
  </si>
  <si>
    <t>Val</t>
  </si>
  <si>
    <t>ORD390</t>
  </si>
  <si>
    <t>Wes</t>
  </si>
  <si>
    <t>ORD391</t>
  </si>
  <si>
    <t>Xi</t>
  </si>
  <si>
    <t>ORD392</t>
  </si>
  <si>
    <t>Yol</t>
  </si>
  <si>
    <t>ORD393</t>
  </si>
  <si>
    <t>Zed</t>
  </si>
  <si>
    <t>ORD394</t>
  </si>
  <si>
    <t>ORD395</t>
  </si>
  <si>
    <t>ORD396</t>
  </si>
  <si>
    <t>ORD397</t>
  </si>
  <si>
    <t>Charles</t>
  </si>
  <si>
    <t>ORD398</t>
  </si>
  <si>
    <t>ORD399</t>
  </si>
  <si>
    <t>ORD400</t>
  </si>
  <si>
    <t>ORD401</t>
  </si>
  <si>
    <t>ORD402</t>
  </si>
  <si>
    <t>Heidi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</si>
  <si>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</si>
  <si>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</si>
  <si>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</si>
  <si>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</si>
  <si>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</si>
  <si>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</si>
  <si>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</si>
  <si>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</si>
  <si>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Pete</t>
  </si>
  <si>
    <t>ORD411</t>
  </si>
  <si>
    <t>ORD412</t>
  </si>
  <si>
    <t>ORD413</t>
  </si>
  <si>
    <t>ORD414</t>
  </si>
  <si>
    <t>ORD415</t>
  </si>
  <si>
    <t>ORD416</t>
  </si>
  <si>
    <t>Vivian</t>
  </si>
  <si>
    <t>ORD417</t>
  </si>
  <si>
    <t>ORD418</t>
  </si>
  <si>
    <t>ORD419</t>
  </si>
  <si>
    <t>Yolanda</t>
  </si>
  <si>
    <t>ORD420</t>
  </si>
  <si>
    <t>ORD421</t>
  </si>
  <si>
    <t>ORD422</t>
  </si>
  <si>
    <t>ORD423</t>
  </si>
  <si>
    <t>Chloe</t>
  </si>
  <si>
    <t>ORD424</t>
  </si>
  <si>
    <t>ORD425</t>
  </si>
  <si>
    <t>Eva</t>
  </si>
  <si>
    <t>ORD426</t>
  </si>
  <si>
    <t>Fred</t>
  </si>
  <si>
    <t>ORD427</t>
  </si>
  <si>
    <t>ORD428</t>
  </si>
  <si>
    <t>Hugh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</si>
  <si>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</si>
  <si>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</si>
  <si>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</si>
  <si>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</si>
  <si>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</si>
  <si>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</si>
  <si>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</si>
  <si>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</si>
  <si>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</si>
  <si>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sku</t>
  </si>
  <si>
    <t>item_name</t>
  </si>
  <si>
    <t>item_cat</t>
  </si>
  <si>
    <t>item_size</t>
  </si>
  <si>
    <t> item_price </t>
  </si>
  <si>
    <t>HDR-CAP-MD</t>
  </si>
  <si>
    <t>Cappuccino</t>
  </si>
  <si>
    <t>Hot Drinks</t>
  </si>
  <si>
    <t>Medium</t>
  </si>
  <si>
    <t> £         3.45 </t>
  </si>
  <si>
    <t>HDR-CAP-LG</t>
  </si>
  <si>
    <t>Large</t>
  </si>
  <si>
    <t> £         3.75 </t>
  </si>
  <si>
    <t>HDR-LAT-MD</t>
  </si>
  <si>
    <t>Latte</t>
  </si>
  <si>
    <t>HDR-LAT-LG</t>
  </si>
  <si>
    <t>HDR-FLT</t>
  </si>
  <si>
    <t>Flat White</t>
  </si>
  <si>
    <t>N/A</t>
  </si>
  <si>
    <t> £         3.15 </t>
  </si>
  <si>
    <t>HDR-CRM-MD</t>
  </si>
  <si>
    <t>Caramel Macchiato</t>
  </si>
  <si>
    <t> £         4.20 </t>
  </si>
  <si>
    <t>HDR-CRM-LG</t>
  </si>
  <si>
    <t> £         4.60 </t>
  </si>
  <si>
    <t>HDR-ESP</t>
  </si>
  <si>
    <t>Espresso</t>
  </si>
  <si>
    <t> £         2.15 </t>
  </si>
  <si>
    <t>HDR-MOC-MD</t>
  </si>
  <si>
    <t>Mocha</t>
  </si>
  <si>
    <t> £         4.00 </t>
  </si>
  <si>
    <t>HDR-MOC-LG</t>
  </si>
  <si>
    <t>HDR-WMO-MD</t>
  </si>
  <si>
    <t>White Mocha</t>
  </si>
  <si>
    <t> £         4.50 </t>
  </si>
  <si>
    <t>HDR-WMO-LG</t>
  </si>
  <si>
    <t> £         4.70 </t>
  </si>
  <si>
    <t>HDR-HCH-MD</t>
  </si>
  <si>
    <t>Hot Chocolate</t>
  </si>
  <si>
    <t>HDR-HCH-LG</t>
  </si>
  <si>
    <t>CDR-CCF-MD</t>
  </si>
  <si>
    <t>Cold Coffee</t>
  </si>
  <si>
    <t>Cold Drinks</t>
  </si>
  <si>
    <t>CDR-CCF-LG</t>
  </si>
  <si>
    <t>CDR-CMO-MD</t>
  </si>
  <si>
    <t>Cold Mocha</t>
  </si>
  <si>
    <t>CDR-CMO-LG</t>
  </si>
  <si>
    <t>CDR-ICT-MD</t>
  </si>
  <si>
    <t>Iced Tea</t>
  </si>
  <si>
    <t> £         3.25 </t>
  </si>
  <si>
    <t>CDR-ICT-LG</t>
  </si>
  <si>
    <t> £         3.55 </t>
  </si>
  <si>
    <t>CDR-LMN-MD</t>
  </si>
  <si>
    <t>Lemonade</t>
  </si>
  <si>
    <t> £         3.35 </t>
  </si>
  <si>
    <t>CDR-LMN-LG</t>
  </si>
  <si>
    <t>SNK-SHC</t>
  </si>
  <si>
    <t>Sandwich Ham&amp;Cheese</t>
  </si>
  <si>
    <t>Snacks</t>
  </si>
  <si>
    <t> £         5.60 </t>
  </si>
  <si>
    <t>SNK-SSM</t>
  </si>
  <si>
    <t>Sandwich Salami&amp;Mozzarella</t>
  </si>
  <si>
    <t> £         5.50 </t>
  </si>
  <si>
    <t>recipe_id</t>
  </si>
  <si>
    <t>ing_id</t>
  </si>
  <si>
    <t>ING001</t>
  </si>
  <si>
    <t>ING002</t>
  </si>
  <si>
    <t>ING009</t>
  </si>
  <si>
    <t>ING007</t>
  </si>
  <si>
    <t>ING008</t>
  </si>
  <si>
    <t>ING012</t>
  </si>
  <si>
    <t>ING013</t>
  </si>
  <si>
    <t>ING005</t>
  </si>
  <si>
    <t>ING017</t>
  </si>
  <si>
    <t>ING010</t>
  </si>
  <si>
    <t>ING016</t>
  </si>
  <si>
    <t>ING014</t>
  </si>
  <si>
    <t>ING011</t>
  </si>
  <si>
    <t>ING015</t>
  </si>
  <si>
    <t>ING003</t>
  </si>
  <si>
    <t>ING004</t>
  </si>
  <si>
    <t>ing_name</t>
  </si>
  <si>
    <t>ing_weight</t>
  </si>
  <si>
    <t>ing_meas</t>
  </si>
  <si>
    <t>ing_price</t>
  </si>
  <si>
    <t>Espresso beans</t>
  </si>
  <si>
    <t>grams</t>
  </si>
  <si>
    <t>Whole Milk</t>
  </si>
  <si>
    <t>ml</t>
  </si>
  <si>
    <t>Cheddar</t>
  </si>
  <si>
    <t>Mozzarella</t>
  </si>
  <si>
    <t>Whipped cream</t>
  </si>
  <si>
    <t>ING006</t>
  </si>
  <si>
    <t>Vanilla syrup</t>
  </si>
  <si>
    <t>Barista chocolate syrup</t>
  </si>
  <si>
    <t>Barista white chocolate syrup</t>
  </si>
  <si>
    <t>Barista caramel sauce</t>
  </si>
  <si>
    <t>Sugar</t>
  </si>
  <si>
    <t>Panini Bread</t>
  </si>
  <si>
    <t>units</t>
  </si>
  <si>
    <t>Cocoa powder</t>
  </si>
  <si>
    <t>Chocolate</t>
  </si>
  <si>
    <t>Lemons</t>
  </si>
  <si>
    <t>Ham</t>
  </si>
  <si>
    <t>Salami</t>
  </si>
  <si>
    <t>Black Tea</t>
  </si>
  <si>
    <t>ING018</t>
  </si>
  <si>
    <t>Vanilla extract</t>
  </si>
  <si>
    <t>inv_id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</si>
  <si>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</si>
  <si>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</si>
  <si>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</si>
  <si>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</si>
  <si>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</si>
  <si>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</si>
  <si>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</si>
  <si>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</si>
  <si>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</si>
  <si>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</si>
  <si>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</si>
  <si>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</si>
  <si>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</si>
  <si>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</si>
  <si>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</si>
  <si>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</si>
  <si>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</si>
  <si>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</si>
  <si>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staff_id</t>
  </si>
  <si>
    <t>first_name</t>
  </si>
  <si>
    <t>last_name</t>
  </si>
  <si>
    <t>position</t>
  </si>
  <si>
    <t>sal_per_hour</t>
  </si>
  <si>
    <t>ST001</t>
  </si>
  <si>
    <t>Emma</t>
  </si>
  <si>
    <t>Johnson</t>
  </si>
  <si>
    <t>Barista</t>
  </si>
  <si>
    <t>ST002</t>
  </si>
  <si>
    <t>Smith</t>
  </si>
  <si>
    <t>ST003</t>
  </si>
  <si>
    <t>Williams</t>
  </si>
  <si>
    <t>ST004</t>
  </si>
  <si>
    <t>Brown</t>
  </si>
  <si>
    <t>shift_id</t>
  </si>
  <si>
    <t>day_of_week</t>
  </si>
  <si>
    <t>start_time</t>
  </si>
  <si>
    <t>end_time</t>
  </si>
  <si>
    <t>SH001</t>
  </si>
  <si>
    <t>Monday</t>
  </si>
  <si>
    <t>SH002</t>
  </si>
  <si>
    <t>SH003</t>
  </si>
  <si>
    <t>Tuesday</t>
  </si>
  <si>
    <t>SH004</t>
  </si>
  <si>
    <t>SH005</t>
  </si>
  <si>
    <t>Wednesday</t>
  </si>
  <si>
    <t>SH006</t>
  </si>
  <si>
    <t>SH007</t>
  </si>
  <si>
    <t>Thursday</t>
  </si>
  <si>
    <t>SH008</t>
  </si>
  <si>
    <t>SH009</t>
  </si>
  <si>
    <t>Friday</t>
  </si>
  <si>
    <t>SH010</t>
  </si>
  <si>
    <t>SH011</t>
  </si>
  <si>
    <t>Saturday</t>
  </si>
  <si>
    <t>SH012</t>
  </si>
  <si>
    <t>rota_id</t>
  </si>
  <si>
    <t>date</t>
  </si>
  <si>
    <t>RT001</t>
  </si>
  <si>
    <t>RT002</t>
  </si>
  <si>
    <t>RT003</t>
  </si>
  <si>
    <t>RT004</t>
  </si>
  <si>
    <t>RT005</t>
  </si>
  <si>
    <t>RT006</t>
  </si>
  <si>
    <t/>
  </si>
  <si>
    <t xml:space="preserve">No. of blanks </t>
  </si>
  <si>
    <t xml:space="preserve">Total no.of customer </t>
  </si>
  <si>
    <t xml:space="preserve">No. of out </t>
  </si>
  <si>
    <t xml:space="preserve">No. of In </t>
  </si>
  <si>
    <t xml:space="preserve">Order type </t>
  </si>
  <si>
    <t>Take_out</t>
  </si>
  <si>
    <t>Dine_in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</si>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</sst>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&quot;$&quot;#,##0.00"/>
  </numFmts>
  <fonts count="7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</font>
    <font>
      <sz val="12"/>
      <color rgb="FF000000"/>
      <name val="Calibri"/>
      <family val="2"/>
      <charset val="1"/>
    </font>
    <font>
      <sz val="12"/>
      <color rgb="FF000000"/>
      <name val="Calibri"/>
      <charset val="1"/>
    </font>
    <font>
      <b/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0" fillId="0" borderId="0" xfId="0" applyNumberFormat="1"/>
    <xf numFmtId="20" fontId="0" fillId="0" borderId="0" xfId="0" applyNumberFormat="1"/>
    <xf numFmtId="0" fontId="1" fillId="0" borderId="0" xfId="0" applyFont="1" applyBorder="1" applyAlignment="1">
      <alignment wrapText="1"/>
    </xf>
    <xf numFmtId="164" fontId="1" fillId="0" borderId="0" xfId="0" applyNumberFormat="1" applyFont="1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3" fillId="0" borderId="1" xfId="0" applyFont="1" applyBorder="1" applyAlignment="1"/>
    <xf numFmtId="0" fontId="1" fillId="0" borderId="0" xfId="0" applyFont="1" applyBorder="1" applyAlignment="1">
      <alignment horizontal="center" wrapText="1"/>
    </xf>
    <xf numFmtId="22" fontId="1" fillId="0" borderId="0" xfId="0" applyNumberFormat="1" applyFont="1" applyBorder="1" applyAlignment="1">
      <alignment wrapText="1"/>
    </xf>
    <xf numFmtId="0" fontId="0" fillId="0" borderId="0" xfId="0" applyBorder="1" applyAlignment="1">
      <alignment horizontal="center"/>
    </xf>
    <xf numFmtId="22" fontId="0" fillId="0" borderId="0" xfId="0" applyNumberFormat="1" applyBorder="1"/>
    <xf numFmtId="22" fontId="3" fillId="0" borderId="1" xfId="0" applyNumberFormat="1" applyFont="1" applyBorder="1" applyAlignment="1"/>
    <xf numFmtId="20" fontId="1" fillId="0" borderId="0" xfId="0" applyNumberFormat="1" applyFont="1" applyBorder="1" applyAlignment="1">
      <alignment wrapText="1"/>
    </xf>
    <xf numFmtId="0" fontId="2" fillId="0" borderId="0" xfId="0" applyFont="1" applyBorder="1"/>
    <xf numFmtId="14" fontId="2" fillId="0" borderId="0" xfId="0" applyNumberFormat="1" applyFont="1" applyBorder="1"/>
    <xf numFmtId="14" fontId="3" fillId="0" borderId="1" xfId="0" applyNumberFormat="1" applyFont="1" applyBorder="1" applyAlignment="1"/>
    <xf numFmtId="21" fontId="3" fillId="0" borderId="1" xfId="0" applyNumberFormat="1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22" fontId="3" fillId="0" borderId="8" xfId="0" applyNumberFormat="1" applyFont="1" applyBorder="1" applyAlignment="1"/>
    <xf numFmtId="0" fontId="3" fillId="0" borderId="9" xfId="0" applyFont="1" applyBorder="1" applyAlignment="1"/>
    <xf numFmtId="0" fontId="0" fillId="0" borderId="7" xfId="0" applyBorder="1"/>
    <xf numFmtId="0" fontId="0" fillId="0" borderId="8" xfId="0" applyBorder="1"/>
    <xf numFmtId="21" fontId="3" fillId="0" borderId="3" xfId="0" applyNumberFormat="1" applyFont="1" applyBorder="1" applyAlignment="1"/>
    <xf numFmtId="21" fontId="3" fillId="0" borderId="8" xfId="0" applyNumberFormat="1" applyFont="1" applyBorder="1" applyAlignment="1"/>
    <xf numFmtId="21" fontId="3" fillId="0" borderId="9" xfId="0" applyNumberFormat="1" applyFont="1" applyBorder="1" applyAlignment="1"/>
    <xf numFmtId="14" fontId="3" fillId="0" borderId="8" xfId="0" applyNumberFormat="1" applyFont="1" applyBorder="1" applyAlignment="1"/>
    <xf numFmtId="0" fontId="3" fillId="0" borderId="5" xfId="0" applyFont="1" applyBorder="1" applyAlignment="1"/>
    <xf numFmtId="0" fontId="3" fillId="0" borderId="0" xfId="0" applyFont="1" applyBorder="1" applyAlignment="1"/>
    <xf numFmtId="0" fontId="0" fillId="0" borderId="0" xfId="0" applyFill="1" applyBorder="1"/>
    <xf numFmtId="165" fontId="5" fillId="0" borderId="6" xfId="0" applyNumberFormat="1" applyFont="1" applyBorder="1" applyAlignment="1"/>
    <xf numFmtId="165" fontId="3" fillId="0" borderId="3" xfId="0" applyNumberFormat="1" applyFont="1" applyBorder="1" applyAlignment="1"/>
    <xf numFmtId="165" fontId="3" fillId="0" borderId="9" xfId="0" applyNumberFormat="1" applyFont="1" applyBorder="1" applyAlignment="1"/>
    <xf numFmtId="165" fontId="0" fillId="0" borderId="0" xfId="0" applyNumberFormat="1"/>
    <xf numFmtId="2" fontId="5" fillId="0" borderId="6" xfId="0" applyNumberFormat="1" applyFont="1" applyBorder="1" applyAlignment="1"/>
    <xf numFmtId="2" fontId="3" fillId="0" borderId="3" xfId="0" applyNumberFormat="1" applyFont="1" applyBorder="1" applyAlignment="1"/>
    <xf numFmtId="2" fontId="0" fillId="0" borderId="0" xfId="0" applyNumberFormat="1"/>
    <xf numFmtId="2" fontId="4" fillId="0" borderId="3" xfId="0" applyNumberFormat="1" applyFont="1" applyBorder="1"/>
    <xf numFmtId="2" fontId="0" fillId="0" borderId="9" xfId="0" applyNumberFormat="1" applyBorder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numFmt numFmtId="19" formatCode="m/d/yyyy"/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numFmt numFmtId="26" formatCode="h:mm:ss"/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numFmt numFmtId="26" formatCode="h:mm:ss"/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numFmt numFmtId="165" formatCode="&quot;$&quot;#,##0.00"/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numFmt numFmtId="27" formatCode="m/d/yyyy\ h:mm"/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75FCAE-F3EA-4968-97B1-CFB60435CA8E}" autoFormatId="16" applyNumberFormats="0" applyBorderFormats="0" applyFontFormats="0" applyPatternFormats="0" applyAlignmentFormats="0" applyWidthHeightFormats="0">
  <queryTableRefresh nextId="9">
    <queryTableFields count="8">
      <queryTableField id="1" name="row_id" tableColumnId="1"/>
      <queryTableField id="2" name="order_id" tableColumnId="2"/>
      <queryTableField id="3" name="created_at" tableColumnId="3"/>
      <queryTableField id="4" name="item_id" tableColumnId="4"/>
      <queryTableField id="5" name="quantity" tableColumnId="5"/>
      <queryTableField id="6" name="cust_name" tableColumnId="6"/>
      <queryTableField id="7" name="in_or_out" tableColumnId="7"/>
      <queryTableField id="8" name="Order type 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FB6F487-3A45-4655-AB47-AF4E5B4DCEC6}" autoFormatId="16" applyNumberFormats="0" applyBorderFormats="0" applyFontFormats="0" applyPatternFormats="0" applyAlignmentFormats="0" applyWidthHeightFormats="0">
  <queryTableRefresh nextId="7">
    <queryTableFields count="6">
      <queryTableField id="1" name="item_id" tableColumnId="1"/>
      <queryTableField id="2" name="sku" tableColumnId="2"/>
      <queryTableField id="3" name="item_name" tableColumnId="3"/>
      <queryTableField id="4" name="item_cat" tableColumnId="4"/>
      <queryTableField id="5" name="item_size" tableColumnId="5"/>
      <queryTableField id="6" name=" item_price 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3CC584-2AE7-4198-B216-F61EA6FA3FC9}" name="Table1_2" displayName="Table1_2" ref="A1:H522" tableType="queryTable" totalsRowShown="0">
  <autoFilter ref="A1:H522" xr:uid="{6D3CC584-2AE7-4198-B216-F61EA6FA3FC9}"/>
  <tableColumns count="8">
    <tableColumn id="1" xr3:uid="{2E7B014C-E607-4EB9-9B53-8BAD308572C3}" uniqueName="1" name="row_id" queryTableFieldId="1"/>
    <tableColumn id="2" xr3:uid="{37BDBABD-2696-4924-819E-D0DCBCB68542}" uniqueName="2" name="order_id" queryTableFieldId="2" dataDxfId="87"/>
    <tableColumn id="3" xr3:uid="{BC9168CE-55C5-49A5-BB65-D2BAC6F82329}" uniqueName="3" name="created_at" queryTableFieldId="3" dataDxfId="86"/>
    <tableColumn id="4" xr3:uid="{5597837B-6001-46D8-9EC0-C945684B70A1}" uniqueName="4" name="item_id" queryTableFieldId="4" dataDxfId="85"/>
    <tableColumn id="5" xr3:uid="{0724FB67-B9CA-47AA-B300-BC2C0B31510F}" uniqueName="5" name="quantity" queryTableFieldId="5"/>
    <tableColumn id="6" xr3:uid="{D32E8466-3463-48E1-B3AE-246E546E72B6}" uniqueName="6" name="cust_name" queryTableFieldId="6" dataDxfId="84"/>
    <tableColumn id="7" xr3:uid="{129869E1-A89E-40F4-B47C-FB9B6F7CD767}" uniqueName="7" name="in_or_out" queryTableFieldId="7" dataDxfId="83"/>
    <tableColumn id="8" xr3:uid="{C2A9B7CC-F142-42A6-91CE-D6E1BBFD2B3F}" uniqueName="8" name="Order type " queryTableFieldId="8" dataDxfId="8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A1208-0695-411B-9F84-2BFC032F3ED2}" name="Table1" displayName="Table1" ref="A1:H522" totalsRowShown="0" headerRowDxfId="81" dataDxfId="79" headerRowBorderDxfId="80" tableBorderDxfId="78" totalsRowBorderDxfId="77">
  <autoFilter ref="A1:H522" xr:uid="{250A1208-0695-411B-9F84-2BFC032F3ED2}"/>
  <tableColumns count="8">
    <tableColumn id="1" xr3:uid="{565D59DC-972B-443E-82ED-A1990C8EFDEC}" name="row_id" dataDxfId="76"/>
    <tableColumn id="2" xr3:uid="{EBA4D222-8716-4772-8D51-7B2D7A5CAE31}" name="order_id" dataDxfId="75"/>
    <tableColumn id="3" xr3:uid="{9A9181F4-1511-432B-B5E9-F45BA5F26010}" name="created_at" dataDxfId="74"/>
    <tableColumn id="4" xr3:uid="{B02593FD-F164-4107-A4F4-2CD6CB64F7E4}" name="item_id" dataDxfId="73"/>
    <tableColumn id="5" xr3:uid="{8B09604B-36CC-4F0C-BE51-4A1C1EF54FDD}" name="quantity" dataDxfId="72"/>
    <tableColumn id="6" xr3:uid="{8F8EEC5F-483C-4223-AB19-999140BD61E0}" name="cust_name" dataDxfId="71"/>
    <tableColumn id="7" xr3:uid="{180293A9-B948-4AC9-92D8-3B68406192B1}" name="in_or_out" dataDxfId="70"/>
    <tableColumn id="10" xr3:uid="{1AD3CF37-06B5-48CD-87B2-B34C24CED276}" name="Order type " dataDxfId="69">
      <calculatedColumnFormula array="1">_xlfn.IFS(Table1[[#This Row],[in_or_out]]="out", "Take_out",Table1[[#This Row],[in_or_out]]="in", "Dine_in", Table1[[#This Row],[in_or_out]]="","Unknown")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C0349C-21E4-4347-ADA0-7A907A6B12A1}" name="Table2_2" displayName="Table2_2" ref="A1:F30" tableType="queryTable" totalsRowShown="0">
  <autoFilter ref="A1:F30" xr:uid="{28C0349C-21E4-4347-ADA0-7A907A6B12A1}"/>
  <tableColumns count="6">
    <tableColumn id="1" xr3:uid="{EAA2B0F8-81B5-4113-89F5-4C69A3CB791E}" uniqueName="1" name="item_id" queryTableFieldId="1" dataDxfId="68"/>
    <tableColumn id="2" xr3:uid="{EBF7E0BD-0398-4EC4-9BDA-3EA74F74C129}" uniqueName="2" name="sku" queryTableFieldId="2" dataDxfId="67"/>
    <tableColumn id="3" xr3:uid="{393179BD-2B75-43C1-ABBC-55EC0B43FB48}" uniqueName="3" name="item_name" queryTableFieldId="3" dataDxfId="66"/>
    <tableColumn id="4" xr3:uid="{203B7CE0-CBC1-473E-8129-18BF4FCE1105}" uniqueName="4" name="item_cat" queryTableFieldId="4" dataDxfId="65"/>
    <tableColumn id="5" xr3:uid="{73ADE6CA-EDF2-48BD-874B-E17E153C3F89}" uniqueName="5" name="item_size" queryTableFieldId="5" dataDxfId="64"/>
    <tableColumn id="6" xr3:uid="{FA386155-FA77-4E6E-AA80-B3A73DF047D4}" uniqueName="6" name=" item_price " queryTableFieldId="6" dataDxfId="6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906860-547B-4C53-A69C-284B8AAA6053}" name="Table2" displayName="Table2" ref="A1:F30" totalsRowShown="0" headerRowDxfId="62" dataDxfId="60" headerRowBorderDxfId="61" tableBorderDxfId="59" totalsRowBorderDxfId="58">
  <autoFilter ref="A1:F30" xr:uid="{1F906860-547B-4C53-A69C-284B8AAA6053}"/>
  <tableColumns count="6">
    <tableColumn id="1" xr3:uid="{0739235A-E0D3-4389-9D7A-EF3DEBF7DD88}" name="item_id" dataDxfId="57"/>
    <tableColumn id="2" xr3:uid="{9EE5C511-1064-4056-8F1F-EEE637182B82}" name="sku" dataDxfId="56"/>
    <tableColumn id="3" xr3:uid="{0423B47D-DFB7-404D-9641-8F2A5BB66095}" name="item_name" dataDxfId="55"/>
    <tableColumn id="4" xr3:uid="{A5A50C04-5C7A-41F2-98AB-B0E0C22A8DCD}" name="item_cat" dataDxfId="54"/>
    <tableColumn id="5" xr3:uid="{10036F3E-5C28-4A68-9EBC-9D92E562BEC5}" name="item_size" dataDxfId="53"/>
    <tableColumn id="6" xr3:uid="{A3DA7215-20FA-4AE3-B5BD-86E2DB68120E}" name=" item_price 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3760E-E952-4198-BC24-23E80AF1C5F5}" name="Table3" displayName="Table3" ref="A1:D62" totalsRowShown="0" headerRowDxfId="51" headerRowBorderDxfId="50" tableBorderDxfId="49" totalsRowBorderDxfId="48">
  <autoFilter ref="A1:D62" xr:uid="{A4B3760E-E952-4198-BC24-23E80AF1C5F5}"/>
  <tableColumns count="4">
    <tableColumn id="1" xr3:uid="{9B65C506-E628-4075-B436-B6B93BC30E0E}" name="row_id" dataDxfId="47"/>
    <tableColumn id="2" xr3:uid="{30CD8760-3413-40B6-A696-4AE80B34B41B}" name="recipe_id" dataDxfId="46"/>
    <tableColumn id="3" xr3:uid="{97B7308C-5111-4178-95CD-B41F6B1C5BDE}" name="ing_id" dataDxfId="45"/>
    <tableColumn id="4" xr3:uid="{3262F7BE-1616-4A88-8B9A-CBCB70A699B6}" name="quantity" dataDxfId="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A351C7-A24D-4558-BC70-E25CF078A4B1}" name="Table4" displayName="Table4" ref="A1:E19" totalsRowShown="0" headerRowDxfId="43" dataDxfId="41" headerRowBorderDxfId="42" tableBorderDxfId="40" totalsRowBorderDxfId="39">
  <autoFilter ref="A1:E19" xr:uid="{24A351C7-A24D-4558-BC70-E25CF078A4B1}"/>
  <tableColumns count="5">
    <tableColumn id="1" xr3:uid="{7C1D3A85-FDC9-4033-9AF1-239D4362C388}" name="ing_id" dataDxfId="38"/>
    <tableColumn id="2" xr3:uid="{180A6289-5DB1-4D95-9C84-C529B91CE9A8}" name="ing_name" dataDxfId="37"/>
    <tableColumn id="3" xr3:uid="{FB39923A-1E6E-40AC-9486-C4DC138ECD4C}" name="ing_weight" dataDxfId="36"/>
    <tableColumn id="4" xr3:uid="{4D1AB175-CD0A-443B-A9DF-D438B25F275A}" name="ing_meas" dataDxfId="35"/>
    <tableColumn id="5" xr3:uid="{4B023102-85F2-46D8-94A4-B618B1BDA596}" name="ing_price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317763-DFE2-40A2-AD36-12DEC206B291}" name="Table5" displayName="Table5" ref="A1:C19" totalsRowShown="0" headerRowDxfId="33" headerRowBorderDxfId="32" tableBorderDxfId="31" totalsRowBorderDxfId="30">
  <autoFilter ref="A1:C19" xr:uid="{75317763-DFE2-40A2-AD36-12DEC206B291}"/>
  <tableColumns count="3">
    <tableColumn id="1" xr3:uid="{C0390051-8C82-4372-9AB1-8FD02DFD7EF7}" name="inv_id" dataDxfId="29"/>
    <tableColumn id="2" xr3:uid="{1C198913-2BED-4990-BEC9-D32EB73C0EFD}" name="ing_id" dataDxfId="28"/>
    <tableColumn id="3" xr3:uid="{33355FFB-ECE2-49C0-BC07-2117FD4458E3}" name="quantity" dataDxfId="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207F5-F373-4790-9BA6-901339340651}" name="Table6" displayName="Table6" ref="A1:E5" totalsRowShown="0" headerRowDxfId="26" dataDxfId="24" headerRowBorderDxfId="25" tableBorderDxfId="23" totalsRowBorderDxfId="22">
  <autoFilter ref="A1:E5" xr:uid="{AD5207F5-F373-4790-9BA6-901339340651}"/>
  <tableColumns count="5">
    <tableColumn id="1" xr3:uid="{28372661-261A-40A7-8AEB-FC2D74F47E55}" name="staff_id" dataDxfId="21"/>
    <tableColumn id="2" xr3:uid="{0E0759EF-217E-4901-BDEC-487D51309BCE}" name="first_name" dataDxfId="20"/>
    <tableColumn id="3" xr3:uid="{8BAFE655-B710-4BB7-8143-582B8F3E3162}" name="last_name" dataDxfId="19"/>
    <tableColumn id="4" xr3:uid="{B7C638A5-0338-4000-8C8D-21FB8AF16892}" name="position" dataDxfId="18"/>
    <tableColumn id="5" xr3:uid="{A6FC8C3B-142F-43A0-ACEE-ED4F62B6E24A}" name="sal_per_hour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83AB9C-E1E3-4A9F-B736-2FE85525A43E}" name="Table7" displayName="Table7" ref="A1:D13" totalsRowShown="0" headerRowDxfId="16" headerRowBorderDxfId="15" tableBorderDxfId="14" totalsRowBorderDxfId="13">
  <autoFilter ref="A1:D13" xr:uid="{2783AB9C-E1E3-4A9F-B736-2FE85525A43E}"/>
  <tableColumns count="4">
    <tableColumn id="1" xr3:uid="{742EC98D-2011-4C23-B14F-C51053B24DC4}" name="shift_id" dataDxfId="12"/>
    <tableColumn id="2" xr3:uid="{2E5CB6AD-B1AE-49E3-83C3-7EE655B0A5C1}" name="day_of_week" dataDxfId="11"/>
    <tableColumn id="3" xr3:uid="{22761B12-8314-45AF-BC1B-41F1222D33AB}" name="start_time" dataDxfId="10"/>
    <tableColumn id="4" xr3:uid="{E7E0E34D-5221-4495-93B0-AFB0CE972135}" name="end_time" dataDxfId="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306AD0-E7EF-4C5A-A5F8-C8EB70E6509D}" name="Table8" displayName="Table8" ref="A1:E19" totalsRowShown="0" headerRowDxfId="8" headerRowBorderDxfId="7" tableBorderDxfId="6" totalsRowBorderDxfId="5">
  <autoFilter ref="A1:E19" xr:uid="{EB306AD0-E7EF-4C5A-A5F8-C8EB70E6509D}"/>
  <tableColumns count="5">
    <tableColumn id="1" xr3:uid="{606CE976-90FD-4A88-88D0-F85871B13585}" name="row_id" dataDxfId="4"/>
    <tableColumn id="2" xr3:uid="{AA01F1C8-0C24-4D19-AED9-887D3EC9FED5}" name="rota_id" dataDxfId="3"/>
    <tableColumn id="3" xr3:uid="{1BC92309-3882-433C-819D-C29A0A85E5E6}" name="date" dataDxfId="2"/>
    <tableColumn id="4" xr3:uid="{FE7DC0BC-6F12-4B67-B0D3-0EF6470BDD01}" name="shift_id" dataDxfId="1"/>
    <tableColumn id="5" xr3:uid="{B851034B-2010-4F1C-9C1B-6DC708827D5B}" name="staff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AC5E-7E53-4B45-AADE-9D799EAD4DEC}">
  <dimension ref="A1:H522"/>
  <sheetViews>
    <sheetView workbookViewId="0"/>
  </sheetViews>
  <sheetFormatPr defaultRowHeight="14.25"/>
  <cols>
    <col min="1" max="1" width="8.75" bestFit="1" customWidth="1"/>
    <col min="2" max="2" width="10.375" bestFit="1" customWidth="1"/>
    <col min="3" max="3" width="14" bestFit="1" customWidth="1"/>
    <col min="4" max="4" width="9.25" bestFit="1" customWidth="1"/>
    <col min="5" max="5" width="9.875" bestFit="1" customWidth="1"/>
    <col min="6" max="6" width="12.375" bestFit="1" customWidth="1"/>
    <col min="7" max="7" width="11.25" bestFit="1" customWidth="1"/>
    <col min="8" max="8" width="12.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794</v>
      </c>
    </row>
    <row r="2" spans="1:8">
      <c r="A2">
        <v>1</v>
      </c>
      <c r="B2" s="45" t="s">
        <v>7</v>
      </c>
      <c r="C2" s="46">
        <v>45334.294444444444</v>
      </c>
      <c r="D2" s="45" t="s">
        <v>8</v>
      </c>
      <c r="E2">
        <v>1</v>
      </c>
      <c r="F2" s="45" t="s">
        <v>9</v>
      </c>
      <c r="G2" s="45" t="s">
        <v>10</v>
      </c>
      <c r="H2" s="45" t="s">
        <v>795</v>
      </c>
    </row>
    <row r="3" spans="1:8">
      <c r="A3">
        <v>2</v>
      </c>
      <c r="B3" s="45" t="s">
        <v>11</v>
      </c>
      <c r="C3" s="46">
        <v>45334.29791666667</v>
      </c>
      <c r="D3" s="45" t="s">
        <v>12</v>
      </c>
      <c r="E3">
        <v>1</v>
      </c>
      <c r="F3" s="45" t="s">
        <v>13</v>
      </c>
      <c r="G3" s="45" t="s">
        <v>14</v>
      </c>
      <c r="H3" s="45" t="s">
        <v>796</v>
      </c>
    </row>
    <row r="4" spans="1:8">
      <c r="A4">
        <v>3</v>
      </c>
      <c r="B4" s="45" t="s">
        <v>15</v>
      </c>
      <c r="C4" s="46">
        <v>45334.301388888889</v>
      </c>
      <c r="D4" s="45" t="s">
        <v>8</v>
      </c>
      <c r="E4">
        <v>1</v>
      </c>
      <c r="F4" s="45" t="s">
        <v>16</v>
      </c>
      <c r="G4" s="45" t="s">
        <v>10</v>
      </c>
      <c r="H4" s="45" t="s">
        <v>795</v>
      </c>
    </row>
    <row r="5" spans="1:8">
      <c r="A5">
        <v>4</v>
      </c>
      <c r="B5" s="45" t="s">
        <v>17</v>
      </c>
      <c r="C5" s="46">
        <v>45334.304166666669</v>
      </c>
      <c r="D5" s="45" t="s">
        <v>18</v>
      </c>
      <c r="E5">
        <v>1</v>
      </c>
      <c r="F5" s="45" t="s">
        <v>19</v>
      </c>
      <c r="G5" s="45" t="s">
        <v>10</v>
      </c>
      <c r="H5" s="45" t="s">
        <v>795</v>
      </c>
    </row>
    <row r="6" spans="1:8">
      <c r="A6">
        <v>5</v>
      </c>
      <c r="B6" s="45" t="s">
        <v>20</v>
      </c>
      <c r="C6" s="46">
        <v>45334.307638888888</v>
      </c>
      <c r="D6" s="45" t="s">
        <v>21</v>
      </c>
      <c r="E6">
        <v>1</v>
      </c>
      <c r="F6" s="45" t="s">
        <v>22</v>
      </c>
      <c r="G6" s="45" t="s">
        <v>10</v>
      </c>
      <c r="H6" s="45" t="s">
        <v>795</v>
      </c>
    </row>
    <row r="7" spans="1:8">
      <c r="A7">
        <v>6</v>
      </c>
      <c r="B7" s="45" t="s">
        <v>23</v>
      </c>
      <c r="C7" s="46">
        <v>45334.311111111114</v>
      </c>
      <c r="D7" s="45" t="s">
        <v>24</v>
      </c>
      <c r="E7">
        <v>1</v>
      </c>
      <c r="F7" s="45" t="s">
        <v>25</v>
      </c>
      <c r="G7" s="45" t="s">
        <v>14</v>
      </c>
      <c r="H7" s="45" t="s">
        <v>796</v>
      </c>
    </row>
    <row r="8" spans="1:8">
      <c r="A8">
        <v>7</v>
      </c>
      <c r="B8" s="45" t="s">
        <v>23</v>
      </c>
      <c r="C8" s="46">
        <v>45334.311111111114</v>
      </c>
      <c r="D8" s="45" t="s">
        <v>26</v>
      </c>
      <c r="E8">
        <v>1</v>
      </c>
      <c r="F8" s="45" t="s">
        <v>25</v>
      </c>
      <c r="G8" s="45" t="s">
        <v>14</v>
      </c>
      <c r="H8" s="45" t="s">
        <v>796</v>
      </c>
    </row>
    <row r="9" spans="1:8">
      <c r="A9">
        <v>8</v>
      </c>
      <c r="B9" s="45" t="s">
        <v>27</v>
      </c>
      <c r="C9" s="46">
        <v>45334.314583333333</v>
      </c>
      <c r="D9" s="45" t="s">
        <v>28</v>
      </c>
      <c r="E9">
        <v>1</v>
      </c>
      <c r="F9" s="45" t="s">
        <v>29</v>
      </c>
      <c r="G9" s="45" t="s">
        <v>10</v>
      </c>
      <c r="H9" s="45" t="s">
        <v>795</v>
      </c>
    </row>
    <row r="10" spans="1:8">
      <c r="A10">
        <v>9</v>
      </c>
      <c r="B10" s="45" t="s">
        <v>27</v>
      </c>
      <c r="C10" s="46">
        <v>45334.314583333333</v>
      </c>
      <c r="D10" s="45" t="s">
        <v>30</v>
      </c>
      <c r="E10">
        <v>1</v>
      </c>
      <c r="F10" s="45" t="s">
        <v>29</v>
      </c>
      <c r="G10" s="45" t="s">
        <v>789</v>
      </c>
      <c r="H10" s="45" t="s">
        <v>797</v>
      </c>
    </row>
    <row r="11" spans="1:8">
      <c r="A11">
        <v>10</v>
      </c>
      <c r="B11" s="45" t="s">
        <v>31</v>
      </c>
      <c r="C11" s="46">
        <v>45334.318749999999</v>
      </c>
      <c r="D11" s="45" t="s">
        <v>32</v>
      </c>
      <c r="E11">
        <v>1</v>
      </c>
      <c r="F11" s="45" t="s">
        <v>33</v>
      </c>
      <c r="G11" s="45" t="s">
        <v>14</v>
      </c>
      <c r="H11" s="45" t="s">
        <v>796</v>
      </c>
    </row>
    <row r="12" spans="1:8">
      <c r="A12">
        <v>11</v>
      </c>
      <c r="B12" s="45" t="s">
        <v>31</v>
      </c>
      <c r="C12" s="46">
        <v>45334.318749999999</v>
      </c>
      <c r="D12" s="45" t="s">
        <v>34</v>
      </c>
      <c r="E12">
        <v>1</v>
      </c>
      <c r="F12" s="45" t="s">
        <v>33</v>
      </c>
      <c r="G12" s="45" t="s">
        <v>789</v>
      </c>
      <c r="H12" s="45" t="s">
        <v>797</v>
      </c>
    </row>
    <row r="13" spans="1:8">
      <c r="A13">
        <v>12</v>
      </c>
      <c r="B13" s="45" t="s">
        <v>35</v>
      </c>
      <c r="C13" s="46">
        <v>45334.322222222225</v>
      </c>
      <c r="D13" s="45" t="s">
        <v>36</v>
      </c>
      <c r="E13">
        <v>1</v>
      </c>
      <c r="F13" s="45" t="s">
        <v>37</v>
      </c>
      <c r="G13" s="45" t="s">
        <v>10</v>
      </c>
      <c r="H13" s="45" t="s">
        <v>795</v>
      </c>
    </row>
    <row r="14" spans="1:8">
      <c r="A14">
        <v>13</v>
      </c>
      <c r="B14" s="45" t="s">
        <v>35</v>
      </c>
      <c r="C14" s="46">
        <v>45334.322222222225</v>
      </c>
      <c r="D14" s="45" t="s">
        <v>38</v>
      </c>
      <c r="E14">
        <v>1</v>
      </c>
      <c r="F14" s="45" t="s">
        <v>37</v>
      </c>
      <c r="G14" s="45" t="s">
        <v>789</v>
      </c>
      <c r="H14" s="45" t="s">
        <v>797</v>
      </c>
    </row>
    <row r="15" spans="1:8">
      <c r="A15">
        <v>14</v>
      </c>
      <c r="B15" s="45" t="s">
        <v>39</v>
      </c>
      <c r="C15" s="46">
        <v>45334.325694444444</v>
      </c>
      <c r="D15" s="45" t="s">
        <v>21</v>
      </c>
      <c r="E15">
        <v>1</v>
      </c>
      <c r="F15" s="45" t="s">
        <v>40</v>
      </c>
      <c r="G15" s="45" t="s">
        <v>10</v>
      </c>
      <c r="H15" s="45" t="s">
        <v>795</v>
      </c>
    </row>
    <row r="16" spans="1:8">
      <c r="A16">
        <v>15</v>
      </c>
      <c r="B16" s="45" t="s">
        <v>39</v>
      </c>
      <c r="C16" s="46">
        <v>45334.325694444444</v>
      </c>
      <c r="D16" s="45" t="s">
        <v>12</v>
      </c>
      <c r="E16">
        <v>1</v>
      </c>
      <c r="F16" s="45" t="s">
        <v>40</v>
      </c>
      <c r="G16" s="45" t="s">
        <v>789</v>
      </c>
      <c r="H16" s="45" t="s">
        <v>797</v>
      </c>
    </row>
    <row r="17" spans="1:8">
      <c r="A17">
        <v>16</v>
      </c>
      <c r="B17" s="45" t="s">
        <v>41</v>
      </c>
      <c r="C17" s="46">
        <v>45334.328472222223</v>
      </c>
      <c r="D17" s="45" t="s">
        <v>42</v>
      </c>
      <c r="E17">
        <v>1</v>
      </c>
      <c r="F17" s="45" t="s">
        <v>43</v>
      </c>
      <c r="G17" s="45" t="s">
        <v>10</v>
      </c>
      <c r="H17" s="45" t="s">
        <v>795</v>
      </c>
    </row>
    <row r="18" spans="1:8">
      <c r="A18">
        <v>17</v>
      </c>
      <c r="B18" s="45" t="s">
        <v>44</v>
      </c>
      <c r="C18" s="46">
        <v>45334.331944444442</v>
      </c>
      <c r="D18" s="45" t="s">
        <v>45</v>
      </c>
      <c r="E18">
        <v>1</v>
      </c>
      <c r="F18" s="45" t="s">
        <v>46</v>
      </c>
      <c r="G18" s="45" t="s">
        <v>10</v>
      </c>
      <c r="H18" s="45" t="s">
        <v>795</v>
      </c>
    </row>
    <row r="19" spans="1:8">
      <c r="A19">
        <v>18</v>
      </c>
      <c r="B19" s="45" t="s">
        <v>47</v>
      </c>
      <c r="C19" s="46">
        <v>45334.335416666669</v>
      </c>
      <c r="D19" s="45" t="s">
        <v>48</v>
      </c>
      <c r="E19">
        <v>1</v>
      </c>
      <c r="F19" s="45" t="s">
        <v>49</v>
      </c>
      <c r="G19" s="45" t="s">
        <v>14</v>
      </c>
      <c r="H19" s="45" t="s">
        <v>796</v>
      </c>
    </row>
    <row r="20" spans="1:8">
      <c r="A20">
        <v>19</v>
      </c>
      <c r="B20" s="45" t="s">
        <v>47</v>
      </c>
      <c r="C20" s="46">
        <v>45334.335416666669</v>
      </c>
      <c r="D20" s="45" t="s">
        <v>50</v>
      </c>
      <c r="E20">
        <v>1</v>
      </c>
      <c r="F20" s="45" t="s">
        <v>49</v>
      </c>
      <c r="G20" s="45" t="s">
        <v>789</v>
      </c>
      <c r="H20" s="45" t="s">
        <v>797</v>
      </c>
    </row>
    <row r="21" spans="1:8">
      <c r="A21">
        <v>20</v>
      </c>
      <c r="B21" s="45" t="s">
        <v>51</v>
      </c>
      <c r="C21" s="46">
        <v>45334.338888888888</v>
      </c>
      <c r="D21" s="45" t="s">
        <v>52</v>
      </c>
      <c r="E21">
        <v>1</v>
      </c>
      <c r="F21" s="45" t="s">
        <v>53</v>
      </c>
      <c r="G21" s="45" t="s">
        <v>14</v>
      </c>
      <c r="H21" s="45" t="s">
        <v>796</v>
      </c>
    </row>
    <row r="22" spans="1:8">
      <c r="A22">
        <v>21</v>
      </c>
      <c r="B22" s="45" t="s">
        <v>51</v>
      </c>
      <c r="C22" s="46">
        <v>45334.338888888888</v>
      </c>
      <c r="D22" s="45" t="s">
        <v>54</v>
      </c>
      <c r="E22">
        <v>1</v>
      </c>
      <c r="F22" s="45" t="s">
        <v>53</v>
      </c>
      <c r="G22" s="45" t="s">
        <v>789</v>
      </c>
      <c r="H22" s="45" t="s">
        <v>797</v>
      </c>
    </row>
    <row r="23" spans="1:8">
      <c r="A23">
        <v>22</v>
      </c>
      <c r="B23" s="45" t="s">
        <v>55</v>
      </c>
      <c r="C23" s="46">
        <v>45334.341666666667</v>
      </c>
      <c r="D23" s="45" t="s">
        <v>56</v>
      </c>
      <c r="E23">
        <v>1</v>
      </c>
      <c r="F23" s="45" t="s">
        <v>57</v>
      </c>
      <c r="G23" s="45" t="s">
        <v>10</v>
      </c>
      <c r="H23" s="45" t="s">
        <v>795</v>
      </c>
    </row>
    <row r="24" spans="1:8">
      <c r="A24">
        <v>23</v>
      </c>
      <c r="B24" s="45" t="s">
        <v>58</v>
      </c>
      <c r="C24" s="46">
        <v>45334.345138888886</v>
      </c>
      <c r="D24" s="45" t="s">
        <v>59</v>
      </c>
      <c r="E24">
        <v>1</v>
      </c>
      <c r="F24" s="45" t="s">
        <v>60</v>
      </c>
      <c r="G24" s="45" t="s">
        <v>10</v>
      </c>
      <c r="H24" s="45" t="s">
        <v>795</v>
      </c>
    </row>
    <row r="25" spans="1:8">
      <c r="A25">
        <v>24</v>
      </c>
      <c r="B25" s="45" t="s">
        <v>61</v>
      </c>
      <c r="C25" s="46">
        <v>45334.348611111112</v>
      </c>
      <c r="D25" s="45" t="s">
        <v>24</v>
      </c>
      <c r="E25">
        <v>1</v>
      </c>
      <c r="F25" s="45" t="s">
        <v>62</v>
      </c>
      <c r="G25" s="45" t="s">
        <v>14</v>
      </c>
      <c r="H25" s="45" t="s">
        <v>796</v>
      </c>
    </row>
    <row r="26" spans="1:8">
      <c r="A26">
        <v>25</v>
      </c>
      <c r="B26" s="45" t="s">
        <v>63</v>
      </c>
      <c r="C26" s="46">
        <v>45334.351388888892</v>
      </c>
      <c r="D26" s="45" t="s">
        <v>12</v>
      </c>
      <c r="E26">
        <v>1</v>
      </c>
      <c r="F26" s="45" t="s">
        <v>13</v>
      </c>
      <c r="G26" s="45" t="s">
        <v>10</v>
      </c>
      <c r="H26" s="45" t="s">
        <v>795</v>
      </c>
    </row>
    <row r="27" spans="1:8">
      <c r="A27">
        <v>26</v>
      </c>
      <c r="B27" s="45" t="s">
        <v>64</v>
      </c>
      <c r="C27" s="46">
        <v>45334.354861111111</v>
      </c>
      <c r="D27" s="45" t="s">
        <v>38</v>
      </c>
      <c r="E27">
        <v>1</v>
      </c>
      <c r="F27" s="45" t="s">
        <v>65</v>
      </c>
      <c r="G27" s="45" t="s">
        <v>14</v>
      </c>
      <c r="H27" s="45" t="s">
        <v>796</v>
      </c>
    </row>
    <row r="28" spans="1:8">
      <c r="A28">
        <v>27</v>
      </c>
      <c r="B28" s="45" t="s">
        <v>66</v>
      </c>
      <c r="C28" s="46">
        <v>45334.35833333333</v>
      </c>
      <c r="D28" s="45" t="s">
        <v>67</v>
      </c>
      <c r="E28">
        <v>1</v>
      </c>
      <c r="F28" s="45" t="s">
        <v>68</v>
      </c>
      <c r="G28" s="45" t="s">
        <v>10</v>
      </c>
      <c r="H28" s="45" t="s">
        <v>795</v>
      </c>
    </row>
    <row r="29" spans="1:8">
      <c r="A29">
        <v>28</v>
      </c>
      <c r="B29" s="45" t="s">
        <v>66</v>
      </c>
      <c r="C29" s="46">
        <v>45334.35833333333</v>
      </c>
      <c r="D29" s="45" t="s">
        <v>30</v>
      </c>
      <c r="E29">
        <v>1</v>
      </c>
      <c r="F29" s="45" t="s">
        <v>68</v>
      </c>
      <c r="G29" s="45" t="s">
        <v>789</v>
      </c>
      <c r="H29" s="45" t="s">
        <v>797</v>
      </c>
    </row>
    <row r="30" spans="1:8">
      <c r="A30">
        <v>29</v>
      </c>
      <c r="B30" s="45" t="s">
        <v>69</v>
      </c>
      <c r="C30" s="46">
        <v>45334.361805555556</v>
      </c>
      <c r="D30" s="45" t="s">
        <v>28</v>
      </c>
      <c r="E30">
        <v>1</v>
      </c>
      <c r="F30" s="45" t="s">
        <v>25</v>
      </c>
      <c r="G30" s="45" t="s">
        <v>10</v>
      </c>
      <c r="H30" s="45" t="s">
        <v>795</v>
      </c>
    </row>
    <row r="31" spans="1:8">
      <c r="A31">
        <v>30</v>
      </c>
      <c r="B31" s="45" t="s">
        <v>70</v>
      </c>
      <c r="C31" s="46">
        <v>45334.364583333336</v>
      </c>
      <c r="D31" s="45" t="s">
        <v>32</v>
      </c>
      <c r="E31">
        <v>1</v>
      </c>
      <c r="F31" s="45" t="s">
        <v>71</v>
      </c>
      <c r="G31" s="45" t="s">
        <v>14</v>
      </c>
      <c r="H31" s="45" t="s">
        <v>796</v>
      </c>
    </row>
    <row r="32" spans="1:8">
      <c r="A32">
        <v>31</v>
      </c>
      <c r="B32" s="45" t="s">
        <v>70</v>
      </c>
      <c r="C32" s="46">
        <v>45334.364583333336</v>
      </c>
      <c r="D32" s="45" t="s">
        <v>12</v>
      </c>
      <c r="E32">
        <v>1</v>
      </c>
      <c r="F32" s="45" t="s">
        <v>40</v>
      </c>
      <c r="G32" s="45" t="s">
        <v>789</v>
      </c>
      <c r="H32" s="45" t="s">
        <v>797</v>
      </c>
    </row>
    <row r="33" spans="1:8">
      <c r="A33">
        <v>32</v>
      </c>
      <c r="B33" s="45" t="s">
        <v>72</v>
      </c>
      <c r="C33" s="46">
        <v>45334.368055555555</v>
      </c>
      <c r="D33" s="45" t="s">
        <v>8</v>
      </c>
      <c r="E33">
        <v>1</v>
      </c>
      <c r="F33" s="45" t="s">
        <v>9</v>
      </c>
      <c r="G33" s="45" t="s">
        <v>10</v>
      </c>
      <c r="H33" s="45" t="s">
        <v>795</v>
      </c>
    </row>
    <row r="34" spans="1:8">
      <c r="A34">
        <v>33</v>
      </c>
      <c r="B34" s="45" t="s">
        <v>73</v>
      </c>
      <c r="C34" s="46">
        <v>45334.371527777781</v>
      </c>
      <c r="D34" s="45" t="s">
        <v>26</v>
      </c>
      <c r="E34">
        <v>1</v>
      </c>
      <c r="F34" s="45" t="s">
        <v>13</v>
      </c>
      <c r="G34" s="45" t="s">
        <v>10</v>
      </c>
      <c r="H34" s="45" t="s">
        <v>795</v>
      </c>
    </row>
    <row r="35" spans="1:8">
      <c r="A35">
        <v>34</v>
      </c>
      <c r="B35" s="45" t="s">
        <v>74</v>
      </c>
      <c r="C35" s="46">
        <v>45334.375</v>
      </c>
      <c r="D35" s="45" t="s">
        <v>32</v>
      </c>
      <c r="E35">
        <v>1</v>
      </c>
      <c r="F35" s="45" t="s">
        <v>16</v>
      </c>
      <c r="G35" s="45" t="s">
        <v>10</v>
      </c>
      <c r="H35" s="45" t="s">
        <v>795</v>
      </c>
    </row>
    <row r="36" spans="1:8">
      <c r="A36">
        <v>35</v>
      </c>
      <c r="B36" s="45" t="s">
        <v>75</v>
      </c>
      <c r="C36" s="46">
        <v>45334.37777777778</v>
      </c>
      <c r="D36" s="45" t="s">
        <v>18</v>
      </c>
      <c r="E36">
        <v>1</v>
      </c>
      <c r="F36" s="45" t="s">
        <v>19</v>
      </c>
      <c r="G36" s="45" t="s">
        <v>14</v>
      </c>
      <c r="H36" s="45" t="s">
        <v>796</v>
      </c>
    </row>
    <row r="37" spans="1:8">
      <c r="A37">
        <v>36</v>
      </c>
      <c r="B37" s="45" t="s">
        <v>76</v>
      </c>
      <c r="C37" s="46">
        <v>45334.381249999999</v>
      </c>
      <c r="D37" s="45" t="s">
        <v>48</v>
      </c>
      <c r="E37">
        <v>1</v>
      </c>
      <c r="F37" s="45" t="s">
        <v>22</v>
      </c>
      <c r="G37" s="45" t="s">
        <v>10</v>
      </c>
      <c r="H37" s="45" t="s">
        <v>795</v>
      </c>
    </row>
    <row r="38" spans="1:8">
      <c r="A38">
        <v>37</v>
      </c>
      <c r="B38" s="45" t="s">
        <v>77</v>
      </c>
      <c r="C38" s="46">
        <v>45334.384722222225</v>
      </c>
      <c r="D38" s="45" t="s">
        <v>24</v>
      </c>
      <c r="E38">
        <v>1</v>
      </c>
      <c r="F38" s="45" t="s">
        <v>25</v>
      </c>
      <c r="G38" s="45" t="s">
        <v>14</v>
      </c>
      <c r="H38" s="45" t="s">
        <v>796</v>
      </c>
    </row>
    <row r="39" spans="1:8">
      <c r="A39">
        <v>38</v>
      </c>
      <c r="B39" s="45" t="s">
        <v>77</v>
      </c>
      <c r="C39" s="46">
        <v>45334.384722222225</v>
      </c>
      <c r="D39" s="45" t="s">
        <v>26</v>
      </c>
      <c r="E39">
        <v>1</v>
      </c>
      <c r="F39" s="45" t="s">
        <v>25</v>
      </c>
      <c r="G39" s="45" t="s">
        <v>789</v>
      </c>
      <c r="H39" s="45" t="s">
        <v>797</v>
      </c>
    </row>
    <row r="40" spans="1:8">
      <c r="A40">
        <v>39</v>
      </c>
      <c r="B40" s="45" t="s">
        <v>78</v>
      </c>
      <c r="C40" s="46">
        <v>45334.388194444444</v>
      </c>
      <c r="D40" s="45" t="s">
        <v>28</v>
      </c>
      <c r="E40">
        <v>1</v>
      </c>
      <c r="F40" s="45" t="s">
        <v>29</v>
      </c>
      <c r="G40" s="45" t="s">
        <v>14</v>
      </c>
      <c r="H40" s="45" t="s">
        <v>796</v>
      </c>
    </row>
    <row r="41" spans="1:8">
      <c r="A41">
        <v>40</v>
      </c>
      <c r="B41" s="45" t="s">
        <v>78</v>
      </c>
      <c r="C41" s="46">
        <v>45334.388194444444</v>
      </c>
      <c r="D41" s="45" t="s">
        <v>30</v>
      </c>
      <c r="E41">
        <v>1</v>
      </c>
      <c r="F41" s="45" t="s">
        <v>29</v>
      </c>
      <c r="G41" s="45" t="s">
        <v>789</v>
      </c>
      <c r="H41" s="45" t="s">
        <v>797</v>
      </c>
    </row>
    <row r="42" spans="1:8">
      <c r="A42">
        <v>41</v>
      </c>
      <c r="B42" s="45" t="s">
        <v>78</v>
      </c>
      <c r="C42" s="46">
        <v>45334.388194444444</v>
      </c>
      <c r="D42" s="45" t="s">
        <v>52</v>
      </c>
      <c r="E42">
        <v>1</v>
      </c>
      <c r="F42" s="45" t="s">
        <v>29</v>
      </c>
      <c r="G42" s="45" t="s">
        <v>789</v>
      </c>
      <c r="H42" s="45" t="s">
        <v>797</v>
      </c>
    </row>
    <row r="43" spans="1:8">
      <c r="A43">
        <v>42</v>
      </c>
      <c r="B43" s="45" t="s">
        <v>79</v>
      </c>
      <c r="C43" s="46">
        <v>45334.399305555555</v>
      </c>
      <c r="D43" s="45" t="s">
        <v>56</v>
      </c>
      <c r="E43">
        <v>1</v>
      </c>
      <c r="F43" s="45" t="s">
        <v>13</v>
      </c>
      <c r="G43" s="45" t="s">
        <v>10</v>
      </c>
      <c r="H43" s="45" t="s">
        <v>795</v>
      </c>
    </row>
    <row r="44" spans="1:8">
      <c r="A44">
        <v>43</v>
      </c>
      <c r="B44" s="45" t="s">
        <v>80</v>
      </c>
      <c r="C44" s="46">
        <v>45334.408333333333</v>
      </c>
      <c r="D44" s="45" t="s">
        <v>50</v>
      </c>
      <c r="E44">
        <v>1</v>
      </c>
      <c r="F44" s="45" t="s">
        <v>62</v>
      </c>
      <c r="G44" s="45" t="s">
        <v>10</v>
      </c>
      <c r="H44" s="45" t="s">
        <v>795</v>
      </c>
    </row>
    <row r="45" spans="1:8">
      <c r="A45">
        <v>44</v>
      </c>
      <c r="B45" s="45" t="s">
        <v>81</v>
      </c>
      <c r="C45" s="46">
        <v>45334.418055555558</v>
      </c>
      <c r="D45" s="45" t="s">
        <v>45</v>
      </c>
      <c r="E45">
        <v>1</v>
      </c>
      <c r="F45" s="45" t="s">
        <v>19</v>
      </c>
      <c r="G45" s="45" t="s">
        <v>10</v>
      </c>
      <c r="H45" s="45" t="s">
        <v>795</v>
      </c>
    </row>
    <row r="46" spans="1:8">
      <c r="A46">
        <v>45</v>
      </c>
      <c r="B46" s="45" t="s">
        <v>82</v>
      </c>
      <c r="C46" s="46">
        <v>45334.428472222222</v>
      </c>
      <c r="D46" s="45" t="s">
        <v>83</v>
      </c>
      <c r="E46">
        <v>1</v>
      </c>
      <c r="F46" s="45" t="s">
        <v>29</v>
      </c>
      <c r="G46" s="45" t="s">
        <v>10</v>
      </c>
      <c r="H46" s="45" t="s">
        <v>795</v>
      </c>
    </row>
    <row r="47" spans="1:8">
      <c r="A47">
        <v>46</v>
      </c>
      <c r="B47" s="45" t="s">
        <v>84</v>
      </c>
      <c r="C47" s="46">
        <v>45334.439583333333</v>
      </c>
      <c r="D47" s="45" t="s">
        <v>67</v>
      </c>
      <c r="E47">
        <v>1</v>
      </c>
      <c r="F47" s="45" t="s">
        <v>9</v>
      </c>
      <c r="G47" s="45" t="s">
        <v>14</v>
      </c>
      <c r="H47" s="45" t="s">
        <v>796</v>
      </c>
    </row>
    <row r="48" spans="1:8">
      <c r="A48">
        <v>47</v>
      </c>
      <c r="B48" s="45" t="s">
        <v>85</v>
      </c>
      <c r="C48" s="46">
        <v>45334.451388888891</v>
      </c>
      <c r="D48" s="45" t="s">
        <v>48</v>
      </c>
      <c r="E48">
        <v>1</v>
      </c>
      <c r="F48" s="45" t="s">
        <v>22</v>
      </c>
      <c r="G48" s="45" t="s">
        <v>10</v>
      </c>
      <c r="H48" s="45" t="s">
        <v>795</v>
      </c>
    </row>
    <row r="49" spans="1:8">
      <c r="A49">
        <v>48</v>
      </c>
      <c r="B49" s="45" t="s">
        <v>86</v>
      </c>
      <c r="C49" s="46">
        <v>45334.463888888888</v>
      </c>
      <c r="D49" s="45" t="s">
        <v>34</v>
      </c>
      <c r="E49">
        <v>1</v>
      </c>
      <c r="F49" s="45" t="s">
        <v>16</v>
      </c>
      <c r="G49" s="45" t="s">
        <v>10</v>
      </c>
      <c r="H49" s="45" t="s">
        <v>795</v>
      </c>
    </row>
    <row r="50" spans="1:8">
      <c r="A50">
        <v>49</v>
      </c>
      <c r="B50" s="45" t="s">
        <v>87</v>
      </c>
      <c r="C50" s="46">
        <v>45334.477083333331</v>
      </c>
      <c r="D50" s="45" t="s">
        <v>28</v>
      </c>
      <c r="E50">
        <v>1</v>
      </c>
      <c r="F50" s="45" t="s">
        <v>37</v>
      </c>
      <c r="G50" s="45" t="s">
        <v>14</v>
      </c>
      <c r="H50" s="45" t="s">
        <v>796</v>
      </c>
    </row>
    <row r="51" spans="1:8">
      <c r="A51">
        <v>50</v>
      </c>
      <c r="B51" s="45" t="s">
        <v>87</v>
      </c>
      <c r="C51" s="46">
        <v>45334.477083333331</v>
      </c>
      <c r="D51" s="45" t="s">
        <v>59</v>
      </c>
      <c r="E51">
        <v>1</v>
      </c>
      <c r="F51" s="45" t="s">
        <v>37</v>
      </c>
      <c r="G51" s="45" t="s">
        <v>789</v>
      </c>
      <c r="H51" s="45" t="s">
        <v>797</v>
      </c>
    </row>
    <row r="52" spans="1:8">
      <c r="A52">
        <v>51</v>
      </c>
      <c r="B52" s="45" t="s">
        <v>88</v>
      </c>
      <c r="C52" s="46">
        <v>45334.505555555559</v>
      </c>
      <c r="D52" s="45" t="s">
        <v>89</v>
      </c>
      <c r="E52">
        <v>1</v>
      </c>
      <c r="F52" s="45" t="s">
        <v>40</v>
      </c>
      <c r="G52" s="45" t="s">
        <v>14</v>
      </c>
      <c r="H52" s="45" t="s">
        <v>796</v>
      </c>
    </row>
    <row r="53" spans="1:8">
      <c r="A53">
        <v>52</v>
      </c>
      <c r="B53" s="45" t="s">
        <v>88</v>
      </c>
      <c r="C53" s="46">
        <v>45334.505555555559</v>
      </c>
      <c r="D53" s="45" t="s">
        <v>42</v>
      </c>
      <c r="E53">
        <v>1</v>
      </c>
      <c r="F53" s="45" t="s">
        <v>40</v>
      </c>
      <c r="G53" s="45" t="s">
        <v>789</v>
      </c>
      <c r="H53" s="45" t="s">
        <v>797</v>
      </c>
    </row>
    <row r="54" spans="1:8">
      <c r="A54">
        <v>53</v>
      </c>
      <c r="B54" s="45" t="s">
        <v>88</v>
      </c>
      <c r="C54" s="46">
        <v>45334.505555555559</v>
      </c>
      <c r="D54" s="45" t="s">
        <v>26</v>
      </c>
      <c r="E54">
        <v>1</v>
      </c>
      <c r="F54" s="45" t="s">
        <v>40</v>
      </c>
      <c r="G54" s="45" t="s">
        <v>789</v>
      </c>
      <c r="H54" s="45" t="s">
        <v>797</v>
      </c>
    </row>
    <row r="55" spans="1:8">
      <c r="A55">
        <v>54</v>
      </c>
      <c r="B55" s="45" t="s">
        <v>90</v>
      </c>
      <c r="C55" s="46">
        <v>45334.506944444445</v>
      </c>
      <c r="D55" s="45" t="s">
        <v>28</v>
      </c>
      <c r="E55">
        <v>1</v>
      </c>
      <c r="F55" s="45" t="s">
        <v>29</v>
      </c>
      <c r="G55" s="45" t="s">
        <v>10</v>
      </c>
      <c r="H55" s="45" t="s">
        <v>795</v>
      </c>
    </row>
    <row r="56" spans="1:8">
      <c r="A56">
        <v>55</v>
      </c>
      <c r="B56" s="45" t="s">
        <v>90</v>
      </c>
      <c r="C56" s="46">
        <v>45334.506944444445</v>
      </c>
      <c r="D56" s="45" t="s">
        <v>30</v>
      </c>
      <c r="E56">
        <v>1</v>
      </c>
      <c r="F56" s="45" t="s">
        <v>29</v>
      </c>
      <c r="G56" s="45" t="s">
        <v>789</v>
      </c>
      <c r="H56" s="45" t="s">
        <v>797</v>
      </c>
    </row>
    <row r="57" spans="1:8">
      <c r="A57">
        <v>56</v>
      </c>
      <c r="B57" s="45" t="s">
        <v>91</v>
      </c>
      <c r="C57" s="46">
        <v>45334.507638888892</v>
      </c>
      <c r="D57" s="45" t="s">
        <v>32</v>
      </c>
      <c r="E57">
        <v>1</v>
      </c>
      <c r="F57" s="45" t="s">
        <v>33</v>
      </c>
      <c r="G57" s="45" t="s">
        <v>10</v>
      </c>
      <c r="H57" s="45" t="s">
        <v>795</v>
      </c>
    </row>
    <row r="58" spans="1:8">
      <c r="A58">
        <v>57</v>
      </c>
      <c r="B58" s="45" t="s">
        <v>91</v>
      </c>
      <c r="C58" s="46">
        <v>45334.507638888892</v>
      </c>
      <c r="D58" s="45" t="s">
        <v>34</v>
      </c>
      <c r="E58">
        <v>1</v>
      </c>
      <c r="F58" s="45" t="s">
        <v>33</v>
      </c>
      <c r="G58" s="45" t="s">
        <v>789</v>
      </c>
      <c r="H58" s="45" t="s">
        <v>797</v>
      </c>
    </row>
    <row r="59" spans="1:8">
      <c r="A59">
        <v>58</v>
      </c>
      <c r="B59" s="45" t="s">
        <v>92</v>
      </c>
      <c r="C59" s="46">
        <v>45334.511111111111</v>
      </c>
      <c r="D59" s="45" t="s">
        <v>36</v>
      </c>
      <c r="E59">
        <v>1</v>
      </c>
      <c r="F59" s="45" t="s">
        <v>37</v>
      </c>
      <c r="G59" s="45" t="s">
        <v>14</v>
      </c>
      <c r="H59" s="45" t="s">
        <v>796</v>
      </c>
    </row>
    <row r="60" spans="1:8">
      <c r="A60">
        <v>59</v>
      </c>
      <c r="B60" s="45" t="s">
        <v>92</v>
      </c>
      <c r="C60" s="46">
        <v>45334.511111111111</v>
      </c>
      <c r="D60" s="45" t="s">
        <v>38</v>
      </c>
      <c r="E60">
        <v>1</v>
      </c>
      <c r="F60" s="45" t="s">
        <v>37</v>
      </c>
      <c r="G60" s="45" t="s">
        <v>789</v>
      </c>
      <c r="H60" s="45" t="s">
        <v>797</v>
      </c>
    </row>
    <row r="61" spans="1:8">
      <c r="A61">
        <v>60</v>
      </c>
      <c r="B61" s="45" t="s">
        <v>92</v>
      </c>
      <c r="C61" s="46">
        <v>45334.511111111111</v>
      </c>
      <c r="D61" s="45" t="s">
        <v>38</v>
      </c>
      <c r="E61">
        <v>1</v>
      </c>
      <c r="F61" s="45" t="s">
        <v>37</v>
      </c>
      <c r="G61" s="45" t="s">
        <v>789</v>
      </c>
      <c r="H61" s="45" t="s">
        <v>797</v>
      </c>
    </row>
    <row r="62" spans="1:8">
      <c r="A62">
        <v>61</v>
      </c>
      <c r="B62" s="45" t="s">
        <v>93</v>
      </c>
      <c r="C62" s="46">
        <v>45334.512499999997</v>
      </c>
      <c r="D62" s="45" t="s">
        <v>56</v>
      </c>
      <c r="E62">
        <v>1</v>
      </c>
      <c r="F62" s="45" t="s">
        <v>16</v>
      </c>
      <c r="G62" s="45" t="s">
        <v>10</v>
      </c>
      <c r="H62" s="45" t="s">
        <v>795</v>
      </c>
    </row>
    <row r="63" spans="1:8">
      <c r="A63">
        <v>62</v>
      </c>
      <c r="B63" s="45" t="s">
        <v>94</v>
      </c>
      <c r="C63" s="46">
        <v>45334.51458333333</v>
      </c>
      <c r="D63" s="45" t="s">
        <v>54</v>
      </c>
      <c r="E63">
        <v>1</v>
      </c>
      <c r="F63" s="45" t="s">
        <v>22</v>
      </c>
      <c r="G63" s="45" t="s">
        <v>10</v>
      </c>
      <c r="H63" s="45" t="s">
        <v>795</v>
      </c>
    </row>
    <row r="64" spans="1:8">
      <c r="A64">
        <v>63</v>
      </c>
      <c r="B64" s="45" t="s">
        <v>95</v>
      </c>
      <c r="C64" s="46">
        <v>45334.515972222223</v>
      </c>
      <c r="D64" s="45" t="s">
        <v>34</v>
      </c>
      <c r="E64">
        <v>1</v>
      </c>
      <c r="F64" s="45" t="s">
        <v>29</v>
      </c>
      <c r="G64" s="45" t="s">
        <v>10</v>
      </c>
      <c r="H64" s="45" t="s">
        <v>795</v>
      </c>
    </row>
    <row r="65" spans="1:8">
      <c r="A65">
        <v>64</v>
      </c>
      <c r="B65" s="45" t="s">
        <v>96</v>
      </c>
      <c r="C65" s="46">
        <v>45334.518055555556</v>
      </c>
      <c r="D65" s="45" t="s">
        <v>67</v>
      </c>
      <c r="E65">
        <v>1</v>
      </c>
      <c r="F65" s="45" t="s">
        <v>9</v>
      </c>
      <c r="G65" s="45" t="s">
        <v>14</v>
      </c>
      <c r="H65" s="45" t="s">
        <v>796</v>
      </c>
    </row>
    <row r="66" spans="1:8">
      <c r="A66">
        <v>65</v>
      </c>
      <c r="B66" s="45" t="s">
        <v>97</v>
      </c>
      <c r="C66" s="46">
        <v>45334.520138888889</v>
      </c>
      <c r="D66" s="45" t="s">
        <v>48</v>
      </c>
      <c r="E66">
        <v>1</v>
      </c>
      <c r="F66" s="45" t="s">
        <v>19</v>
      </c>
      <c r="G66" s="45" t="s">
        <v>10</v>
      </c>
      <c r="H66" s="45" t="s">
        <v>795</v>
      </c>
    </row>
    <row r="67" spans="1:8">
      <c r="A67">
        <v>66</v>
      </c>
      <c r="B67" s="45" t="s">
        <v>98</v>
      </c>
      <c r="C67" s="46">
        <v>45334.522222222222</v>
      </c>
      <c r="D67" s="45" t="s">
        <v>48</v>
      </c>
      <c r="E67">
        <v>1</v>
      </c>
      <c r="F67" s="45" t="s">
        <v>43</v>
      </c>
      <c r="G67" s="45" t="s">
        <v>10</v>
      </c>
      <c r="H67" s="45" t="s">
        <v>795</v>
      </c>
    </row>
    <row r="68" spans="1:8">
      <c r="A68">
        <v>67</v>
      </c>
      <c r="B68" s="45" t="s">
        <v>99</v>
      </c>
      <c r="C68" s="46">
        <v>45334.524305555555</v>
      </c>
      <c r="D68" s="45" t="s">
        <v>52</v>
      </c>
      <c r="E68">
        <v>1</v>
      </c>
      <c r="F68" s="45" t="s">
        <v>13</v>
      </c>
      <c r="G68" s="45" t="s">
        <v>10</v>
      </c>
      <c r="H68" s="45" t="s">
        <v>795</v>
      </c>
    </row>
    <row r="69" spans="1:8">
      <c r="A69">
        <v>68</v>
      </c>
      <c r="B69" s="45" t="s">
        <v>100</v>
      </c>
      <c r="C69" s="46">
        <v>45334.526388888888</v>
      </c>
      <c r="D69" s="45" t="s">
        <v>28</v>
      </c>
      <c r="E69">
        <v>1</v>
      </c>
      <c r="F69" s="45" t="s">
        <v>40</v>
      </c>
      <c r="G69" s="45" t="s">
        <v>14</v>
      </c>
      <c r="H69" s="45" t="s">
        <v>796</v>
      </c>
    </row>
    <row r="70" spans="1:8">
      <c r="A70">
        <v>69</v>
      </c>
      <c r="B70" s="45" t="s">
        <v>101</v>
      </c>
      <c r="C70" s="46">
        <v>45334.52847222222</v>
      </c>
      <c r="D70" s="45" t="s">
        <v>18</v>
      </c>
      <c r="E70">
        <v>1</v>
      </c>
      <c r="F70" s="45" t="s">
        <v>25</v>
      </c>
      <c r="G70" s="45" t="s">
        <v>10</v>
      </c>
      <c r="H70" s="45" t="s">
        <v>795</v>
      </c>
    </row>
    <row r="71" spans="1:8">
      <c r="A71">
        <v>70</v>
      </c>
      <c r="B71" s="45" t="s">
        <v>102</v>
      </c>
      <c r="C71" s="46">
        <v>45334.530555555553</v>
      </c>
      <c r="D71" s="45" t="s">
        <v>30</v>
      </c>
      <c r="E71">
        <v>1</v>
      </c>
      <c r="F71" s="45" t="s">
        <v>62</v>
      </c>
      <c r="G71" s="45" t="s">
        <v>14</v>
      </c>
      <c r="H71" s="45" t="s">
        <v>796</v>
      </c>
    </row>
    <row r="72" spans="1:8">
      <c r="A72">
        <v>71</v>
      </c>
      <c r="B72" s="45" t="s">
        <v>103</v>
      </c>
      <c r="C72" s="46">
        <v>45334.532638888886</v>
      </c>
      <c r="D72" s="45" t="s">
        <v>50</v>
      </c>
      <c r="E72">
        <v>1</v>
      </c>
      <c r="F72" s="45" t="s">
        <v>33</v>
      </c>
      <c r="G72" s="45" t="s">
        <v>10</v>
      </c>
      <c r="H72" s="45" t="s">
        <v>795</v>
      </c>
    </row>
    <row r="73" spans="1:8">
      <c r="A73">
        <v>72</v>
      </c>
      <c r="B73" s="45" t="s">
        <v>104</v>
      </c>
      <c r="C73" s="46">
        <v>45334.534722222219</v>
      </c>
      <c r="D73" s="45" t="s">
        <v>12</v>
      </c>
      <c r="E73">
        <v>1</v>
      </c>
      <c r="F73" s="45" t="s">
        <v>105</v>
      </c>
      <c r="G73" s="45" t="s">
        <v>14</v>
      </c>
      <c r="H73" s="45" t="s">
        <v>796</v>
      </c>
    </row>
    <row r="74" spans="1:8">
      <c r="A74">
        <v>73</v>
      </c>
      <c r="B74" s="45" t="s">
        <v>106</v>
      </c>
      <c r="C74" s="46">
        <v>45334.536805555559</v>
      </c>
      <c r="D74" s="45" t="s">
        <v>26</v>
      </c>
      <c r="E74">
        <v>1</v>
      </c>
      <c r="F74" s="45" t="s">
        <v>37</v>
      </c>
      <c r="G74" s="45" t="s">
        <v>10</v>
      </c>
      <c r="H74" s="45" t="s">
        <v>795</v>
      </c>
    </row>
    <row r="75" spans="1:8">
      <c r="A75">
        <v>74</v>
      </c>
      <c r="B75" s="45" t="s">
        <v>107</v>
      </c>
      <c r="C75" s="46">
        <v>45334.538888888892</v>
      </c>
      <c r="D75" s="45" t="s">
        <v>36</v>
      </c>
      <c r="E75">
        <v>1</v>
      </c>
      <c r="F75" s="45" t="s">
        <v>16</v>
      </c>
      <c r="G75" s="45" t="s">
        <v>10</v>
      </c>
      <c r="H75" s="45" t="s">
        <v>795</v>
      </c>
    </row>
    <row r="76" spans="1:8">
      <c r="A76">
        <v>75</v>
      </c>
      <c r="B76" s="45" t="s">
        <v>108</v>
      </c>
      <c r="C76" s="46">
        <v>45334.540972222225</v>
      </c>
      <c r="D76" s="45" t="s">
        <v>30</v>
      </c>
      <c r="E76">
        <v>1</v>
      </c>
      <c r="F76" s="45" t="s">
        <v>22</v>
      </c>
      <c r="G76" s="45" t="s">
        <v>10</v>
      </c>
      <c r="H76" s="45" t="s">
        <v>795</v>
      </c>
    </row>
    <row r="77" spans="1:8">
      <c r="A77">
        <v>76</v>
      </c>
      <c r="B77" s="45" t="s">
        <v>109</v>
      </c>
      <c r="C77" s="46">
        <v>45334.543055555558</v>
      </c>
      <c r="D77" s="45" t="s">
        <v>110</v>
      </c>
      <c r="E77">
        <v>1</v>
      </c>
      <c r="F77" s="45" t="s">
        <v>29</v>
      </c>
      <c r="G77" s="45" t="s">
        <v>14</v>
      </c>
      <c r="H77" s="45" t="s">
        <v>796</v>
      </c>
    </row>
    <row r="78" spans="1:8">
      <c r="A78">
        <v>77</v>
      </c>
      <c r="B78" s="45" t="s">
        <v>111</v>
      </c>
      <c r="C78" s="46">
        <v>45334.545138888891</v>
      </c>
      <c r="D78" s="45" t="s">
        <v>24</v>
      </c>
      <c r="E78">
        <v>1</v>
      </c>
      <c r="F78" s="45" t="s">
        <v>9</v>
      </c>
      <c r="G78" s="45" t="s">
        <v>10</v>
      </c>
      <c r="H78" s="45" t="s">
        <v>795</v>
      </c>
    </row>
    <row r="79" spans="1:8">
      <c r="A79">
        <v>78</v>
      </c>
      <c r="B79" s="45" t="s">
        <v>112</v>
      </c>
      <c r="C79" s="46">
        <v>45334.547222222223</v>
      </c>
      <c r="D79" s="45" t="s">
        <v>42</v>
      </c>
      <c r="E79">
        <v>1</v>
      </c>
      <c r="F79" s="45" t="s">
        <v>19</v>
      </c>
      <c r="G79" s="45" t="s">
        <v>14</v>
      </c>
      <c r="H79" s="45" t="s">
        <v>796</v>
      </c>
    </row>
    <row r="80" spans="1:8">
      <c r="A80">
        <v>79</v>
      </c>
      <c r="B80" s="45" t="s">
        <v>113</v>
      </c>
      <c r="C80" s="46">
        <v>45334.549305555556</v>
      </c>
      <c r="D80" s="45" t="s">
        <v>8</v>
      </c>
      <c r="E80">
        <v>1</v>
      </c>
      <c r="F80" s="45" t="s">
        <v>43</v>
      </c>
      <c r="G80" s="45" t="s">
        <v>10</v>
      </c>
      <c r="H80" s="45" t="s">
        <v>795</v>
      </c>
    </row>
    <row r="81" spans="1:8">
      <c r="A81">
        <v>80</v>
      </c>
      <c r="B81" s="45" t="s">
        <v>114</v>
      </c>
      <c r="C81" s="46">
        <v>45334.550694444442</v>
      </c>
      <c r="D81" s="45" t="s">
        <v>59</v>
      </c>
      <c r="E81">
        <v>1</v>
      </c>
      <c r="F81" s="45" t="s">
        <v>62</v>
      </c>
      <c r="G81" s="45" t="s">
        <v>14</v>
      </c>
      <c r="H81" s="45" t="s">
        <v>796</v>
      </c>
    </row>
    <row r="82" spans="1:8">
      <c r="A82">
        <v>81</v>
      </c>
      <c r="B82" s="45" t="s">
        <v>114</v>
      </c>
      <c r="C82" s="46">
        <v>45334.550694444442</v>
      </c>
      <c r="D82" s="45" t="s">
        <v>45</v>
      </c>
      <c r="E82">
        <v>1</v>
      </c>
      <c r="F82" s="45" t="s">
        <v>62</v>
      </c>
      <c r="G82" s="45" t="s">
        <v>789</v>
      </c>
      <c r="H82" s="45" t="s">
        <v>797</v>
      </c>
    </row>
    <row r="83" spans="1:8">
      <c r="A83">
        <v>82</v>
      </c>
      <c r="B83" s="45" t="s">
        <v>115</v>
      </c>
      <c r="C83" s="46">
        <v>45334.552083333336</v>
      </c>
      <c r="D83" s="45" t="s">
        <v>18</v>
      </c>
      <c r="E83">
        <v>1</v>
      </c>
      <c r="F83" s="45" t="s">
        <v>13</v>
      </c>
      <c r="G83" s="45" t="s">
        <v>10</v>
      </c>
      <c r="H83" s="45" t="s">
        <v>795</v>
      </c>
    </row>
    <row r="84" spans="1:8">
      <c r="A84">
        <v>83</v>
      </c>
      <c r="B84" s="45" t="s">
        <v>116</v>
      </c>
      <c r="C84" s="46">
        <v>45334.553472222222</v>
      </c>
      <c r="D84" s="45" t="s">
        <v>50</v>
      </c>
      <c r="E84">
        <v>1</v>
      </c>
      <c r="F84" s="45" t="s">
        <v>105</v>
      </c>
      <c r="G84" s="45" t="s">
        <v>10</v>
      </c>
      <c r="H84" s="45" t="s">
        <v>795</v>
      </c>
    </row>
    <row r="85" spans="1:8">
      <c r="A85">
        <v>84</v>
      </c>
      <c r="B85" s="45" t="s">
        <v>116</v>
      </c>
      <c r="C85" s="46">
        <v>45334.553472222222</v>
      </c>
      <c r="D85" s="45" t="s">
        <v>28</v>
      </c>
      <c r="E85">
        <v>1</v>
      </c>
      <c r="F85" s="45" t="s">
        <v>105</v>
      </c>
      <c r="G85" s="45" t="s">
        <v>789</v>
      </c>
      <c r="H85" s="45" t="s">
        <v>797</v>
      </c>
    </row>
    <row r="86" spans="1:8">
      <c r="A86">
        <v>85</v>
      </c>
      <c r="B86" s="45" t="s">
        <v>116</v>
      </c>
      <c r="C86" s="46">
        <v>45334.553472222222</v>
      </c>
      <c r="D86" s="45" t="s">
        <v>12</v>
      </c>
      <c r="E86">
        <v>1</v>
      </c>
      <c r="F86" s="45" t="s">
        <v>105</v>
      </c>
      <c r="G86" s="45" t="s">
        <v>789</v>
      </c>
      <c r="H86" s="45" t="s">
        <v>797</v>
      </c>
    </row>
    <row r="87" spans="1:8">
      <c r="A87">
        <v>86</v>
      </c>
      <c r="B87" s="45" t="s">
        <v>117</v>
      </c>
      <c r="C87" s="46">
        <v>45334.555555555555</v>
      </c>
      <c r="D87" s="45" t="s">
        <v>56</v>
      </c>
      <c r="E87">
        <v>1</v>
      </c>
      <c r="F87" s="45" t="s">
        <v>19</v>
      </c>
      <c r="G87" s="45" t="s">
        <v>14</v>
      </c>
      <c r="H87" s="45" t="s">
        <v>796</v>
      </c>
    </row>
    <row r="88" spans="1:8">
      <c r="A88">
        <v>87</v>
      </c>
      <c r="B88" s="45" t="s">
        <v>117</v>
      </c>
      <c r="C88" s="46">
        <v>45334.555555555555</v>
      </c>
      <c r="D88" s="45" t="s">
        <v>42</v>
      </c>
      <c r="E88">
        <v>1</v>
      </c>
      <c r="F88" s="45" t="s">
        <v>19</v>
      </c>
      <c r="G88" s="45" t="s">
        <v>789</v>
      </c>
      <c r="H88" s="45" t="s">
        <v>797</v>
      </c>
    </row>
    <row r="89" spans="1:8">
      <c r="A89">
        <v>88</v>
      </c>
      <c r="B89" s="45" t="s">
        <v>118</v>
      </c>
      <c r="C89" s="46">
        <v>45334.556944444441</v>
      </c>
      <c r="D89" s="45" t="s">
        <v>52</v>
      </c>
      <c r="E89">
        <v>1</v>
      </c>
      <c r="F89" s="45" t="s">
        <v>16</v>
      </c>
      <c r="G89" s="45" t="s">
        <v>10</v>
      </c>
      <c r="H89" s="45" t="s">
        <v>795</v>
      </c>
    </row>
    <row r="90" spans="1:8">
      <c r="A90">
        <v>89</v>
      </c>
      <c r="B90" s="45" t="s">
        <v>118</v>
      </c>
      <c r="C90" s="46">
        <v>45334.556944444441</v>
      </c>
      <c r="D90" s="45" t="s">
        <v>48</v>
      </c>
      <c r="E90">
        <v>1</v>
      </c>
      <c r="F90" s="45" t="s">
        <v>16</v>
      </c>
      <c r="G90" s="45" t="s">
        <v>789</v>
      </c>
      <c r="H90" s="45" t="s">
        <v>797</v>
      </c>
    </row>
    <row r="91" spans="1:8">
      <c r="A91">
        <v>90</v>
      </c>
      <c r="B91" s="45" t="s">
        <v>119</v>
      </c>
      <c r="C91" s="46">
        <v>45334.559027777781</v>
      </c>
      <c r="D91" s="45" t="s">
        <v>34</v>
      </c>
      <c r="E91">
        <v>1</v>
      </c>
      <c r="F91" s="45" t="s">
        <v>29</v>
      </c>
      <c r="G91" s="45" t="s">
        <v>10</v>
      </c>
      <c r="H91" s="45" t="s">
        <v>795</v>
      </c>
    </row>
    <row r="92" spans="1:8">
      <c r="A92">
        <v>91</v>
      </c>
      <c r="B92" s="45" t="s">
        <v>119</v>
      </c>
      <c r="C92" s="46">
        <v>45334.559027777781</v>
      </c>
      <c r="D92" s="45" t="s">
        <v>54</v>
      </c>
      <c r="E92">
        <v>1</v>
      </c>
      <c r="F92" s="45" t="s">
        <v>29</v>
      </c>
      <c r="G92" s="45" t="s">
        <v>789</v>
      </c>
      <c r="H92" s="45" t="s">
        <v>797</v>
      </c>
    </row>
    <row r="93" spans="1:8">
      <c r="A93">
        <v>92</v>
      </c>
      <c r="B93" s="45" t="s">
        <v>120</v>
      </c>
      <c r="C93" s="46">
        <v>45334.560416666667</v>
      </c>
      <c r="D93" s="45" t="s">
        <v>38</v>
      </c>
      <c r="E93">
        <v>1</v>
      </c>
      <c r="F93" s="45" t="s">
        <v>22</v>
      </c>
      <c r="G93" s="45" t="s">
        <v>10</v>
      </c>
      <c r="H93" s="45" t="s">
        <v>795</v>
      </c>
    </row>
    <row r="94" spans="1:8">
      <c r="A94">
        <v>93</v>
      </c>
      <c r="B94" s="45" t="s">
        <v>120</v>
      </c>
      <c r="C94" s="46">
        <v>45334.560416666667</v>
      </c>
      <c r="D94" s="45" t="s">
        <v>89</v>
      </c>
      <c r="E94">
        <v>1</v>
      </c>
      <c r="F94" s="45" t="s">
        <v>22</v>
      </c>
      <c r="G94" s="45" t="s">
        <v>789</v>
      </c>
      <c r="H94" s="45" t="s">
        <v>797</v>
      </c>
    </row>
    <row r="95" spans="1:8">
      <c r="A95">
        <v>94</v>
      </c>
      <c r="B95" s="45" t="s">
        <v>121</v>
      </c>
      <c r="C95" s="46">
        <v>45334.5625</v>
      </c>
      <c r="D95" s="45" t="s">
        <v>32</v>
      </c>
      <c r="E95">
        <v>1</v>
      </c>
      <c r="F95" s="45" t="s">
        <v>25</v>
      </c>
      <c r="G95" s="45" t="s">
        <v>10</v>
      </c>
      <c r="H95" s="45" t="s">
        <v>795</v>
      </c>
    </row>
    <row r="96" spans="1:8">
      <c r="A96">
        <v>95</v>
      </c>
      <c r="B96" s="45" t="s">
        <v>121</v>
      </c>
      <c r="C96" s="46">
        <v>45334.5625</v>
      </c>
      <c r="D96" s="45" t="s">
        <v>54</v>
      </c>
      <c r="E96">
        <v>1</v>
      </c>
      <c r="F96" s="45" t="s">
        <v>25</v>
      </c>
      <c r="G96" s="45" t="s">
        <v>789</v>
      </c>
      <c r="H96" s="45" t="s">
        <v>797</v>
      </c>
    </row>
    <row r="97" spans="1:8">
      <c r="A97">
        <v>96</v>
      </c>
      <c r="B97" s="45" t="s">
        <v>122</v>
      </c>
      <c r="C97" s="46">
        <v>45334.563888888886</v>
      </c>
      <c r="D97" s="45" t="s">
        <v>123</v>
      </c>
      <c r="E97">
        <v>1</v>
      </c>
      <c r="F97" s="45" t="s">
        <v>37</v>
      </c>
      <c r="G97" s="45" t="s">
        <v>10</v>
      </c>
      <c r="H97" s="45" t="s">
        <v>795</v>
      </c>
    </row>
    <row r="98" spans="1:8">
      <c r="A98">
        <v>97</v>
      </c>
      <c r="B98" s="45" t="s">
        <v>122</v>
      </c>
      <c r="C98" s="46">
        <v>45334.563888888886</v>
      </c>
      <c r="D98" s="45" t="s">
        <v>21</v>
      </c>
      <c r="E98">
        <v>1</v>
      </c>
      <c r="F98" s="45" t="s">
        <v>37</v>
      </c>
      <c r="G98" s="45" t="s">
        <v>789</v>
      </c>
      <c r="H98" s="45" t="s">
        <v>797</v>
      </c>
    </row>
    <row r="99" spans="1:8">
      <c r="A99">
        <v>98</v>
      </c>
      <c r="B99" s="45" t="s">
        <v>124</v>
      </c>
      <c r="C99" s="46">
        <v>45334.565972222219</v>
      </c>
      <c r="D99" s="45" t="s">
        <v>24</v>
      </c>
      <c r="E99">
        <v>1</v>
      </c>
      <c r="F99" s="45" t="s">
        <v>40</v>
      </c>
      <c r="G99" s="45" t="s">
        <v>14</v>
      </c>
      <c r="H99" s="45" t="s">
        <v>796</v>
      </c>
    </row>
    <row r="100" spans="1:8">
      <c r="A100">
        <v>99</v>
      </c>
      <c r="B100" s="45" t="s">
        <v>124</v>
      </c>
      <c r="C100" s="46">
        <v>45334.565972222219</v>
      </c>
      <c r="D100" s="45" t="s">
        <v>67</v>
      </c>
      <c r="E100">
        <v>1</v>
      </c>
      <c r="F100" s="45" t="s">
        <v>40</v>
      </c>
      <c r="G100" s="45" t="s">
        <v>789</v>
      </c>
      <c r="H100" s="45" t="s">
        <v>797</v>
      </c>
    </row>
    <row r="101" spans="1:8">
      <c r="A101">
        <v>100</v>
      </c>
      <c r="B101" s="45" t="s">
        <v>125</v>
      </c>
      <c r="C101" s="46">
        <v>45334.579861111109</v>
      </c>
      <c r="D101" s="45" t="s">
        <v>30</v>
      </c>
      <c r="E101">
        <v>1</v>
      </c>
      <c r="F101" s="45" t="s">
        <v>9</v>
      </c>
      <c r="G101" s="45" t="s">
        <v>10</v>
      </c>
      <c r="H101" s="45" t="s">
        <v>795</v>
      </c>
    </row>
    <row r="102" spans="1:8">
      <c r="A102">
        <v>101</v>
      </c>
      <c r="B102" s="45" t="s">
        <v>126</v>
      </c>
      <c r="C102" s="46">
        <v>45334.586805555555</v>
      </c>
      <c r="D102" s="45" t="s">
        <v>50</v>
      </c>
      <c r="E102">
        <v>1</v>
      </c>
      <c r="F102" s="45" t="s">
        <v>62</v>
      </c>
      <c r="G102" s="45" t="s">
        <v>14</v>
      </c>
      <c r="H102" s="45" t="s">
        <v>796</v>
      </c>
    </row>
    <row r="103" spans="1:8">
      <c r="A103">
        <v>102</v>
      </c>
      <c r="B103" s="45" t="s">
        <v>127</v>
      </c>
      <c r="C103" s="46">
        <v>45334.595138888886</v>
      </c>
      <c r="D103" s="45" t="s">
        <v>56</v>
      </c>
      <c r="E103">
        <v>1</v>
      </c>
      <c r="F103" s="45" t="s">
        <v>16</v>
      </c>
      <c r="G103" s="45" t="s">
        <v>10</v>
      </c>
      <c r="H103" s="45" t="s">
        <v>795</v>
      </c>
    </row>
    <row r="104" spans="1:8">
      <c r="A104">
        <v>103</v>
      </c>
      <c r="B104" s="45" t="s">
        <v>127</v>
      </c>
      <c r="C104" s="46">
        <v>45334.595138888886</v>
      </c>
      <c r="D104" s="45" t="s">
        <v>110</v>
      </c>
      <c r="E104">
        <v>1</v>
      </c>
      <c r="F104" s="45" t="s">
        <v>16</v>
      </c>
      <c r="G104" s="45" t="s">
        <v>789</v>
      </c>
      <c r="H104" s="45" t="s">
        <v>797</v>
      </c>
    </row>
    <row r="105" spans="1:8">
      <c r="A105">
        <v>104</v>
      </c>
      <c r="B105" s="45" t="s">
        <v>128</v>
      </c>
      <c r="C105" s="46">
        <v>45334.604166666664</v>
      </c>
      <c r="D105" s="45" t="s">
        <v>34</v>
      </c>
      <c r="E105">
        <v>1</v>
      </c>
      <c r="F105" s="45" t="s">
        <v>13</v>
      </c>
      <c r="G105" s="45" t="s">
        <v>14</v>
      </c>
      <c r="H105" s="45" t="s">
        <v>796</v>
      </c>
    </row>
    <row r="106" spans="1:8">
      <c r="A106">
        <v>105</v>
      </c>
      <c r="B106" s="45" t="s">
        <v>129</v>
      </c>
      <c r="C106" s="46">
        <v>45334.614583333336</v>
      </c>
      <c r="D106" s="45" t="s">
        <v>45</v>
      </c>
      <c r="E106">
        <v>1</v>
      </c>
      <c r="F106" s="45" t="s">
        <v>19</v>
      </c>
      <c r="G106" s="45" t="s">
        <v>14</v>
      </c>
      <c r="H106" s="45" t="s">
        <v>796</v>
      </c>
    </row>
    <row r="107" spans="1:8">
      <c r="A107">
        <v>106</v>
      </c>
      <c r="B107" s="45" t="s">
        <v>129</v>
      </c>
      <c r="C107" s="46">
        <v>45334.614583333336</v>
      </c>
      <c r="D107" s="45" t="s">
        <v>38</v>
      </c>
      <c r="E107">
        <v>1</v>
      </c>
      <c r="F107" s="45" t="s">
        <v>19</v>
      </c>
      <c r="G107" s="45" t="s">
        <v>789</v>
      </c>
      <c r="H107" s="45" t="s">
        <v>797</v>
      </c>
    </row>
    <row r="108" spans="1:8">
      <c r="A108">
        <v>107</v>
      </c>
      <c r="B108" s="45" t="s">
        <v>130</v>
      </c>
      <c r="C108" s="46">
        <v>45334.625</v>
      </c>
      <c r="D108" s="45" t="s">
        <v>110</v>
      </c>
      <c r="E108">
        <v>1</v>
      </c>
      <c r="F108" s="45" t="s">
        <v>29</v>
      </c>
      <c r="G108" s="45" t="s">
        <v>10</v>
      </c>
      <c r="H108" s="45" t="s">
        <v>795</v>
      </c>
    </row>
    <row r="109" spans="1:8">
      <c r="A109">
        <v>108</v>
      </c>
      <c r="B109" s="45" t="s">
        <v>131</v>
      </c>
      <c r="C109" s="46">
        <v>45334.638888888891</v>
      </c>
      <c r="D109" s="45" t="s">
        <v>48</v>
      </c>
      <c r="E109">
        <v>1</v>
      </c>
      <c r="F109" s="45" t="s">
        <v>22</v>
      </c>
      <c r="G109" s="45" t="s">
        <v>14</v>
      </c>
      <c r="H109" s="45" t="s">
        <v>796</v>
      </c>
    </row>
    <row r="110" spans="1:8">
      <c r="A110">
        <v>109</v>
      </c>
      <c r="B110" s="45" t="s">
        <v>131</v>
      </c>
      <c r="C110" s="46">
        <v>45334.638888888891</v>
      </c>
      <c r="D110" s="45" t="s">
        <v>42</v>
      </c>
      <c r="E110">
        <v>1</v>
      </c>
      <c r="F110" s="45" t="s">
        <v>22</v>
      </c>
      <c r="G110" s="45" t="s">
        <v>789</v>
      </c>
      <c r="H110" s="45" t="s">
        <v>797</v>
      </c>
    </row>
    <row r="111" spans="1:8">
      <c r="A111">
        <v>110</v>
      </c>
      <c r="B111" s="45" t="s">
        <v>132</v>
      </c>
      <c r="C111" s="46">
        <v>45334.652777777781</v>
      </c>
      <c r="D111" s="45" t="s">
        <v>12</v>
      </c>
      <c r="E111">
        <v>1</v>
      </c>
      <c r="F111" s="45" t="s">
        <v>25</v>
      </c>
      <c r="G111" s="45" t="s">
        <v>10</v>
      </c>
      <c r="H111" s="45" t="s">
        <v>795</v>
      </c>
    </row>
    <row r="112" spans="1:8">
      <c r="A112">
        <v>111</v>
      </c>
      <c r="B112" s="45" t="s">
        <v>132</v>
      </c>
      <c r="C112" s="46">
        <v>45334.652777777781</v>
      </c>
      <c r="D112" s="45" t="s">
        <v>54</v>
      </c>
      <c r="E112">
        <v>1</v>
      </c>
      <c r="F112" s="45" t="s">
        <v>25</v>
      </c>
      <c r="G112" s="45" t="s">
        <v>789</v>
      </c>
      <c r="H112" s="45" t="s">
        <v>797</v>
      </c>
    </row>
    <row r="113" spans="1:8">
      <c r="A113">
        <v>112</v>
      </c>
      <c r="B113" s="45" t="s">
        <v>133</v>
      </c>
      <c r="C113" s="46">
        <v>45334.666666666664</v>
      </c>
      <c r="D113" s="45" t="s">
        <v>28</v>
      </c>
      <c r="E113">
        <v>1</v>
      </c>
      <c r="F113" s="45" t="s">
        <v>43</v>
      </c>
      <c r="G113" s="45" t="s">
        <v>10</v>
      </c>
      <c r="H113" s="45" t="s">
        <v>795</v>
      </c>
    </row>
    <row r="114" spans="1:8">
      <c r="A114">
        <v>113</v>
      </c>
      <c r="B114" s="45" t="s">
        <v>134</v>
      </c>
      <c r="C114" s="46">
        <v>45334.684027777781</v>
      </c>
      <c r="D114" s="45" t="s">
        <v>67</v>
      </c>
      <c r="E114">
        <v>1</v>
      </c>
      <c r="F114" s="45" t="s">
        <v>105</v>
      </c>
      <c r="G114" s="45" t="s">
        <v>10</v>
      </c>
      <c r="H114" s="45" t="s">
        <v>795</v>
      </c>
    </row>
    <row r="115" spans="1:8">
      <c r="A115">
        <v>114</v>
      </c>
      <c r="B115" s="45" t="s">
        <v>135</v>
      </c>
      <c r="C115" s="46">
        <v>45334.701388888891</v>
      </c>
      <c r="D115" s="45" t="s">
        <v>52</v>
      </c>
      <c r="E115">
        <v>1</v>
      </c>
      <c r="F115" s="45" t="s">
        <v>37</v>
      </c>
      <c r="G115" s="45" t="s">
        <v>10</v>
      </c>
      <c r="H115" s="45" t="s">
        <v>795</v>
      </c>
    </row>
    <row r="116" spans="1:8">
      <c r="A116">
        <v>115</v>
      </c>
      <c r="B116" s="45" t="s">
        <v>136</v>
      </c>
      <c r="C116" s="46">
        <v>45334.708333333336</v>
      </c>
      <c r="D116" s="45" t="s">
        <v>24</v>
      </c>
      <c r="E116">
        <v>1</v>
      </c>
      <c r="F116" s="45" t="s">
        <v>137</v>
      </c>
      <c r="G116" s="45" t="s">
        <v>10</v>
      </c>
      <c r="H116" s="45" t="s">
        <v>795</v>
      </c>
    </row>
    <row r="117" spans="1:8">
      <c r="A117">
        <v>116</v>
      </c>
      <c r="B117" s="45" t="s">
        <v>138</v>
      </c>
      <c r="C117" s="46">
        <v>45335.301388888889</v>
      </c>
      <c r="D117" s="45" t="s">
        <v>59</v>
      </c>
      <c r="E117">
        <v>1</v>
      </c>
      <c r="F117" s="45" t="s">
        <v>139</v>
      </c>
      <c r="G117" s="45" t="s">
        <v>10</v>
      </c>
      <c r="H117" s="45" t="s">
        <v>795</v>
      </c>
    </row>
    <row r="118" spans="1:8">
      <c r="A118">
        <v>117</v>
      </c>
      <c r="B118" s="45" t="s">
        <v>140</v>
      </c>
      <c r="C118" s="46">
        <v>45335.304861111108</v>
      </c>
      <c r="D118" s="45" t="s">
        <v>56</v>
      </c>
      <c r="E118">
        <v>1</v>
      </c>
      <c r="F118" s="45" t="s">
        <v>141</v>
      </c>
      <c r="G118" s="45" t="s">
        <v>14</v>
      </c>
      <c r="H118" s="45" t="s">
        <v>796</v>
      </c>
    </row>
    <row r="119" spans="1:8">
      <c r="A119">
        <v>118</v>
      </c>
      <c r="B119" s="45" t="s">
        <v>140</v>
      </c>
      <c r="C119" s="46">
        <v>45335.304861111108</v>
      </c>
      <c r="D119" s="45" t="s">
        <v>142</v>
      </c>
      <c r="E119">
        <v>1</v>
      </c>
      <c r="F119" s="45" t="s">
        <v>141</v>
      </c>
      <c r="G119" s="45" t="s">
        <v>789</v>
      </c>
      <c r="H119" s="45" t="s">
        <v>797</v>
      </c>
    </row>
    <row r="120" spans="1:8">
      <c r="A120">
        <v>119</v>
      </c>
      <c r="B120" s="45" t="s">
        <v>143</v>
      </c>
      <c r="C120" s="46">
        <v>45335.308333333334</v>
      </c>
      <c r="D120" s="45" t="s">
        <v>67</v>
      </c>
      <c r="E120">
        <v>1</v>
      </c>
      <c r="F120" s="45" t="s">
        <v>144</v>
      </c>
      <c r="G120" s="45" t="s">
        <v>10</v>
      </c>
      <c r="H120" s="45" t="s">
        <v>795</v>
      </c>
    </row>
    <row r="121" spans="1:8">
      <c r="A121">
        <v>120</v>
      </c>
      <c r="B121" s="45" t="s">
        <v>145</v>
      </c>
      <c r="C121" s="46">
        <v>45335.3125</v>
      </c>
      <c r="D121" s="45" t="s">
        <v>36</v>
      </c>
      <c r="E121">
        <v>1</v>
      </c>
      <c r="F121" s="45" t="s">
        <v>9</v>
      </c>
      <c r="G121" s="45" t="s">
        <v>14</v>
      </c>
      <c r="H121" s="45" t="s">
        <v>796</v>
      </c>
    </row>
    <row r="122" spans="1:8">
      <c r="A122">
        <v>121</v>
      </c>
      <c r="B122" s="45" t="s">
        <v>145</v>
      </c>
      <c r="C122" s="46">
        <v>45335.3125</v>
      </c>
      <c r="D122" s="45" t="s">
        <v>38</v>
      </c>
      <c r="E122">
        <v>1</v>
      </c>
      <c r="F122" s="45" t="s">
        <v>9</v>
      </c>
      <c r="G122" s="45" t="s">
        <v>789</v>
      </c>
      <c r="H122" s="45" t="s">
        <v>797</v>
      </c>
    </row>
    <row r="123" spans="1:8">
      <c r="A123">
        <v>122</v>
      </c>
      <c r="B123" s="45" t="s">
        <v>146</v>
      </c>
      <c r="C123" s="46">
        <v>45335.315972222219</v>
      </c>
      <c r="D123" s="45" t="s">
        <v>32</v>
      </c>
      <c r="E123">
        <v>1</v>
      </c>
      <c r="F123" s="45" t="s">
        <v>13</v>
      </c>
      <c r="G123" s="45" t="s">
        <v>10</v>
      </c>
      <c r="H123" s="45" t="s">
        <v>795</v>
      </c>
    </row>
    <row r="124" spans="1:8">
      <c r="A124">
        <v>123</v>
      </c>
      <c r="B124" s="45" t="s">
        <v>147</v>
      </c>
      <c r="C124" s="46">
        <v>45335.319444444445</v>
      </c>
      <c r="D124" s="45" t="s">
        <v>50</v>
      </c>
      <c r="E124">
        <v>1</v>
      </c>
      <c r="F124" s="45" t="s">
        <v>16</v>
      </c>
      <c r="G124" s="45" t="s">
        <v>14</v>
      </c>
      <c r="H124" s="45" t="s">
        <v>796</v>
      </c>
    </row>
    <row r="125" spans="1:8">
      <c r="A125">
        <v>124</v>
      </c>
      <c r="B125" s="45" t="s">
        <v>148</v>
      </c>
      <c r="C125" s="46">
        <v>45335.322916666664</v>
      </c>
      <c r="D125" s="45" t="s">
        <v>89</v>
      </c>
      <c r="E125">
        <v>1</v>
      </c>
      <c r="F125" s="45" t="s">
        <v>19</v>
      </c>
      <c r="G125" s="45" t="s">
        <v>10</v>
      </c>
      <c r="H125" s="45" t="s">
        <v>795</v>
      </c>
    </row>
    <row r="126" spans="1:8">
      <c r="A126">
        <v>125</v>
      </c>
      <c r="B126" s="45" t="s">
        <v>149</v>
      </c>
      <c r="C126" s="46">
        <v>45335.326388888891</v>
      </c>
      <c r="D126" s="45" t="s">
        <v>8</v>
      </c>
      <c r="E126">
        <v>1</v>
      </c>
      <c r="F126" s="45" t="s">
        <v>22</v>
      </c>
      <c r="G126" s="45" t="s">
        <v>14</v>
      </c>
      <c r="H126" s="45" t="s">
        <v>796</v>
      </c>
    </row>
    <row r="127" spans="1:8">
      <c r="A127">
        <v>126</v>
      </c>
      <c r="B127" s="45" t="s">
        <v>149</v>
      </c>
      <c r="C127" s="46">
        <v>45335.326388888891</v>
      </c>
      <c r="D127" s="45" t="s">
        <v>21</v>
      </c>
      <c r="E127">
        <v>1</v>
      </c>
      <c r="F127" s="45" t="s">
        <v>22</v>
      </c>
      <c r="G127" s="45" t="s">
        <v>789</v>
      </c>
      <c r="H127" s="45" t="s">
        <v>797</v>
      </c>
    </row>
    <row r="128" spans="1:8">
      <c r="A128">
        <v>127</v>
      </c>
      <c r="B128" s="45" t="s">
        <v>150</v>
      </c>
      <c r="C128" s="46">
        <v>45335.330555555556</v>
      </c>
      <c r="D128" s="45" t="s">
        <v>24</v>
      </c>
      <c r="E128">
        <v>1</v>
      </c>
      <c r="F128" s="45" t="s">
        <v>25</v>
      </c>
      <c r="G128" s="45" t="s">
        <v>10</v>
      </c>
      <c r="H128" s="45" t="s">
        <v>795</v>
      </c>
    </row>
    <row r="129" spans="1:8">
      <c r="A129">
        <v>128</v>
      </c>
      <c r="B129" s="45" t="s">
        <v>151</v>
      </c>
      <c r="C129" s="46">
        <v>45335.334027777775</v>
      </c>
      <c r="D129" s="45" t="s">
        <v>18</v>
      </c>
      <c r="E129">
        <v>1</v>
      </c>
      <c r="F129" s="45" t="s">
        <v>29</v>
      </c>
      <c r="G129" s="45" t="s">
        <v>14</v>
      </c>
      <c r="H129" s="45" t="s">
        <v>796</v>
      </c>
    </row>
    <row r="130" spans="1:8">
      <c r="A130">
        <v>129</v>
      </c>
      <c r="B130" s="45" t="s">
        <v>152</v>
      </c>
      <c r="C130" s="46">
        <v>45335.337500000001</v>
      </c>
      <c r="D130" s="45" t="s">
        <v>42</v>
      </c>
      <c r="E130">
        <v>1</v>
      </c>
      <c r="F130" s="45" t="s">
        <v>33</v>
      </c>
      <c r="G130" s="45" t="s">
        <v>10</v>
      </c>
      <c r="H130" s="45" t="s">
        <v>795</v>
      </c>
    </row>
    <row r="131" spans="1:8">
      <c r="A131">
        <v>130</v>
      </c>
      <c r="B131" s="45" t="s">
        <v>152</v>
      </c>
      <c r="C131" s="46">
        <v>45335.337500000001</v>
      </c>
      <c r="D131" s="45" t="s">
        <v>153</v>
      </c>
      <c r="E131">
        <v>1</v>
      </c>
      <c r="F131" s="45" t="s">
        <v>33</v>
      </c>
      <c r="G131" s="45" t="s">
        <v>789</v>
      </c>
      <c r="H131" s="45" t="s">
        <v>797</v>
      </c>
    </row>
    <row r="132" spans="1:8">
      <c r="A132">
        <v>131</v>
      </c>
      <c r="B132" s="45" t="s">
        <v>154</v>
      </c>
      <c r="C132" s="46">
        <v>45335.34097222222</v>
      </c>
      <c r="D132" s="45" t="s">
        <v>54</v>
      </c>
      <c r="E132">
        <v>1</v>
      </c>
      <c r="F132" s="45" t="s">
        <v>37</v>
      </c>
      <c r="G132" s="45" t="s">
        <v>14</v>
      </c>
      <c r="H132" s="45" t="s">
        <v>796</v>
      </c>
    </row>
    <row r="133" spans="1:8">
      <c r="A133">
        <v>132</v>
      </c>
      <c r="B133" s="45" t="s">
        <v>155</v>
      </c>
      <c r="C133" s="46">
        <v>45335.345138888886</v>
      </c>
      <c r="D133" s="45" t="s">
        <v>34</v>
      </c>
      <c r="E133">
        <v>1</v>
      </c>
      <c r="F133" s="45" t="s">
        <v>40</v>
      </c>
      <c r="G133" s="45" t="s">
        <v>10</v>
      </c>
      <c r="H133" s="45" t="s">
        <v>795</v>
      </c>
    </row>
    <row r="134" spans="1:8">
      <c r="A134">
        <v>133</v>
      </c>
      <c r="B134" s="45" t="s">
        <v>156</v>
      </c>
      <c r="C134" s="46">
        <v>45335.348611111112</v>
      </c>
      <c r="D134" s="45" t="s">
        <v>28</v>
      </c>
      <c r="E134">
        <v>1</v>
      </c>
      <c r="F134" s="45" t="s">
        <v>43</v>
      </c>
      <c r="G134" s="45" t="s">
        <v>14</v>
      </c>
      <c r="H134" s="45" t="s">
        <v>796</v>
      </c>
    </row>
    <row r="135" spans="1:8">
      <c r="A135">
        <v>134</v>
      </c>
      <c r="B135" s="45" t="s">
        <v>156</v>
      </c>
      <c r="C135" s="46">
        <v>45335.348611111112</v>
      </c>
      <c r="D135" s="45" t="s">
        <v>52</v>
      </c>
      <c r="E135">
        <v>1</v>
      </c>
      <c r="F135" s="45" t="s">
        <v>43</v>
      </c>
      <c r="G135" s="45" t="s">
        <v>789</v>
      </c>
      <c r="H135" s="45" t="s">
        <v>797</v>
      </c>
    </row>
    <row r="136" spans="1:8">
      <c r="A136">
        <v>135</v>
      </c>
      <c r="B136" s="45" t="s">
        <v>157</v>
      </c>
      <c r="C136" s="46">
        <v>45335.352083333331</v>
      </c>
      <c r="D136" s="45" t="s">
        <v>123</v>
      </c>
      <c r="E136">
        <v>1</v>
      </c>
      <c r="F136" s="45" t="s">
        <v>137</v>
      </c>
      <c r="G136" s="45" t="s">
        <v>10</v>
      </c>
      <c r="H136" s="45" t="s">
        <v>795</v>
      </c>
    </row>
    <row r="137" spans="1:8">
      <c r="A137">
        <v>136</v>
      </c>
      <c r="B137" s="45" t="s">
        <v>158</v>
      </c>
      <c r="C137" s="46">
        <v>45335.355555555558</v>
      </c>
      <c r="D137" s="45" t="s">
        <v>45</v>
      </c>
      <c r="E137">
        <v>1</v>
      </c>
      <c r="F137" s="45" t="s">
        <v>9</v>
      </c>
      <c r="G137" s="45" t="s">
        <v>14</v>
      </c>
      <c r="H137" s="45" t="s">
        <v>796</v>
      </c>
    </row>
    <row r="138" spans="1:8">
      <c r="A138">
        <v>137</v>
      </c>
      <c r="B138" s="45" t="s">
        <v>159</v>
      </c>
      <c r="C138" s="46">
        <v>45335.359722222223</v>
      </c>
      <c r="D138" s="45" t="s">
        <v>160</v>
      </c>
      <c r="E138">
        <v>1</v>
      </c>
      <c r="F138" s="45" t="s">
        <v>144</v>
      </c>
      <c r="G138" s="45" t="s">
        <v>10</v>
      </c>
      <c r="H138" s="45" t="s">
        <v>795</v>
      </c>
    </row>
    <row r="139" spans="1:8">
      <c r="A139">
        <v>138</v>
      </c>
      <c r="B139" s="45" t="s">
        <v>159</v>
      </c>
      <c r="C139" s="46">
        <v>45335.359722222223</v>
      </c>
      <c r="D139" s="45" t="s">
        <v>30</v>
      </c>
      <c r="E139">
        <v>1</v>
      </c>
      <c r="F139" s="45" t="s">
        <v>144</v>
      </c>
      <c r="G139" s="45" t="s">
        <v>789</v>
      </c>
      <c r="H139" s="45" t="s">
        <v>797</v>
      </c>
    </row>
    <row r="140" spans="1:8">
      <c r="A140">
        <v>139</v>
      </c>
      <c r="B140" s="45" t="s">
        <v>161</v>
      </c>
      <c r="C140" s="46">
        <v>45335.363194444442</v>
      </c>
      <c r="D140" s="45" t="s">
        <v>12</v>
      </c>
      <c r="E140">
        <v>1</v>
      </c>
      <c r="F140" s="45" t="s">
        <v>141</v>
      </c>
      <c r="G140" s="45" t="s">
        <v>14</v>
      </c>
      <c r="H140" s="45" t="s">
        <v>796</v>
      </c>
    </row>
    <row r="141" spans="1:8">
      <c r="A141">
        <v>140</v>
      </c>
      <c r="B141" s="45" t="s">
        <v>162</v>
      </c>
      <c r="C141" s="46">
        <v>45335.366666666669</v>
      </c>
      <c r="D141" s="45" t="s">
        <v>48</v>
      </c>
      <c r="E141">
        <v>1</v>
      </c>
      <c r="F141" s="45" t="s">
        <v>13</v>
      </c>
      <c r="G141" s="45" t="s">
        <v>10</v>
      </c>
      <c r="H141" s="45" t="s">
        <v>795</v>
      </c>
    </row>
    <row r="142" spans="1:8">
      <c r="A142">
        <v>141</v>
      </c>
      <c r="B142" s="45" t="s">
        <v>163</v>
      </c>
      <c r="C142" s="46">
        <v>45335.370138888888</v>
      </c>
      <c r="D142" s="45" t="s">
        <v>59</v>
      </c>
      <c r="E142">
        <v>1</v>
      </c>
      <c r="F142" s="45" t="s">
        <v>16</v>
      </c>
      <c r="G142" s="45" t="s">
        <v>14</v>
      </c>
      <c r="H142" s="45" t="s">
        <v>796</v>
      </c>
    </row>
    <row r="143" spans="1:8">
      <c r="A143">
        <v>142</v>
      </c>
      <c r="B143" s="45" t="s">
        <v>163</v>
      </c>
      <c r="C143" s="46">
        <v>45335.370138888888</v>
      </c>
      <c r="D143" s="45" t="s">
        <v>26</v>
      </c>
      <c r="E143">
        <v>1</v>
      </c>
      <c r="F143" s="45" t="s">
        <v>16</v>
      </c>
      <c r="G143" s="45" t="s">
        <v>789</v>
      </c>
      <c r="H143" s="45" t="s">
        <v>797</v>
      </c>
    </row>
    <row r="144" spans="1:8">
      <c r="A144">
        <v>143</v>
      </c>
      <c r="B144" s="45" t="s">
        <v>164</v>
      </c>
      <c r="C144" s="46">
        <v>45335.373611111114</v>
      </c>
      <c r="D144" s="45" t="s">
        <v>110</v>
      </c>
      <c r="E144">
        <v>1</v>
      </c>
      <c r="F144" s="45" t="s">
        <v>19</v>
      </c>
      <c r="G144" s="45" t="s">
        <v>10</v>
      </c>
      <c r="H144" s="45" t="s">
        <v>795</v>
      </c>
    </row>
    <row r="145" spans="1:8">
      <c r="A145">
        <v>144</v>
      </c>
      <c r="B145" s="45" t="s">
        <v>165</v>
      </c>
      <c r="C145" s="46">
        <v>45335.37777777778</v>
      </c>
      <c r="D145" s="45" t="s">
        <v>166</v>
      </c>
      <c r="E145">
        <v>1</v>
      </c>
      <c r="F145" s="45" t="s">
        <v>22</v>
      </c>
      <c r="G145" s="45" t="s">
        <v>14</v>
      </c>
      <c r="H145" s="45" t="s">
        <v>796</v>
      </c>
    </row>
    <row r="146" spans="1:8">
      <c r="A146">
        <v>145</v>
      </c>
      <c r="B146" s="45" t="s">
        <v>167</v>
      </c>
      <c r="C146" s="46">
        <v>45335.381249999999</v>
      </c>
      <c r="D146" s="45" t="s">
        <v>56</v>
      </c>
      <c r="E146">
        <v>1</v>
      </c>
      <c r="F146" s="45" t="s">
        <v>25</v>
      </c>
      <c r="G146" s="45" t="s">
        <v>10</v>
      </c>
      <c r="H146" s="45" t="s">
        <v>795</v>
      </c>
    </row>
    <row r="147" spans="1:8">
      <c r="A147">
        <v>146</v>
      </c>
      <c r="B147" s="45" t="s">
        <v>168</v>
      </c>
      <c r="C147" s="46">
        <v>45335.384722222225</v>
      </c>
      <c r="D147" s="45" t="s">
        <v>50</v>
      </c>
      <c r="E147">
        <v>1</v>
      </c>
      <c r="F147" s="45" t="s">
        <v>29</v>
      </c>
      <c r="G147" s="45" t="s">
        <v>14</v>
      </c>
      <c r="H147" s="45" t="s">
        <v>796</v>
      </c>
    </row>
    <row r="148" spans="1:8">
      <c r="A148">
        <v>147</v>
      </c>
      <c r="B148" s="45" t="s">
        <v>169</v>
      </c>
      <c r="C148" s="46">
        <v>45335.388194444444</v>
      </c>
      <c r="D148" s="45" t="s">
        <v>32</v>
      </c>
      <c r="E148">
        <v>1</v>
      </c>
      <c r="F148" s="45" t="s">
        <v>33</v>
      </c>
      <c r="G148" s="45" t="s">
        <v>10</v>
      </c>
      <c r="H148" s="45" t="s">
        <v>795</v>
      </c>
    </row>
    <row r="149" spans="1:8">
      <c r="A149">
        <v>148</v>
      </c>
      <c r="B149" s="45" t="s">
        <v>170</v>
      </c>
      <c r="C149" s="46">
        <v>45335.392361111109</v>
      </c>
      <c r="D149" s="45" t="s">
        <v>18</v>
      </c>
      <c r="E149">
        <v>1</v>
      </c>
      <c r="F149" s="45" t="s">
        <v>37</v>
      </c>
      <c r="G149" s="45" t="s">
        <v>14</v>
      </c>
      <c r="H149" s="45" t="s">
        <v>796</v>
      </c>
    </row>
    <row r="150" spans="1:8">
      <c r="A150">
        <v>149</v>
      </c>
      <c r="B150" s="45" t="s">
        <v>171</v>
      </c>
      <c r="C150" s="46">
        <v>45335.395833333336</v>
      </c>
      <c r="D150" s="45" t="s">
        <v>42</v>
      </c>
      <c r="E150">
        <v>1</v>
      </c>
      <c r="F150" s="45" t="s">
        <v>40</v>
      </c>
      <c r="G150" s="45" t="s">
        <v>10</v>
      </c>
      <c r="H150" s="45" t="s">
        <v>795</v>
      </c>
    </row>
    <row r="151" spans="1:8">
      <c r="A151">
        <v>150</v>
      </c>
      <c r="B151" s="45" t="s">
        <v>172</v>
      </c>
      <c r="C151" s="46">
        <v>45335.399305555555</v>
      </c>
      <c r="D151" s="45" t="s">
        <v>54</v>
      </c>
      <c r="E151">
        <v>1</v>
      </c>
      <c r="F151" s="45" t="s">
        <v>43</v>
      </c>
      <c r="G151" s="45" t="s">
        <v>14</v>
      </c>
      <c r="H151" s="45" t="s">
        <v>796</v>
      </c>
    </row>
    <row r="152" spans="1:8">
      <c r="A152">
        <v>151</v>
      </c>
      <c r="B152" s="45" t="s">
        <v>172</v>
      </c>
      <c r="C152" s="46">
        <v>45335.399305555555</v>
      </c>
      <c r="D152" s="45" t="s">
        <v>52</v>
      </c>
      <c r="E152">
        <v>1</v>
      </c>
      <c r="F152" s="45" t="s">
        <v>43</v>
      </c>
      <c r="G152" s="45" t="s">
        <v>789</v>
      </c>
      <c r="H152" s="45" t="s">
        <v>797</v>
      </c>
    </row>
    <row r="153" spans="1:8">
      <c r="A153">
        <v>152</v>
      </c>
      <c r="B153" s="45" t="s">
        <v>173</v>
      </c>
      <c r="C153" s="46">
        <v>45335.402777777781</v>
      </c>
      <c r="D153" s="45" t="s">
        <v>34</v>
      </c>
      <c r="E153">
        <v>1</v>
      </c>
      <c r="F153" s="45" t="s">
        <v>137</v>
      </c>
      <c r="G153" s="45" t="s">
        <v>10</v>
      </c>
      <c r="H153" s="45" t="s">
        <v>795</v>
      </c>
    </row>
    <row r="154" spans="1:8">
      <c r="A154">
        <v>153</v>
      </c>
      <c r="B154" s="45" t="s">
        <v>174</v>
      </c>
      <c r="C154" s="46">
        <v>45335.406944444447</v>
      </c>
      <c r="D154" s="45" t="s">
        <v>28</v>
      </c>
      <c r="E154">
        <v>1</v>
      </c>
      <c r="F154" s="45" t="s">
        <v>9</v>
      </c>
      <c r="G154" s="45" t="s">
        <v>14</v>
      </c>
      <c r="H154" s="45" t="s">
        <v>796</v>
      </c>
    </row>
    <row r="155" spans="1:8">
      <c r="A155">
        <v>154</v>
      </c>
      <c r="B155" s="45" t="s">
        <v>175</v>
      </c>
      <c r="C155" s="46">
        <v>45335.410416666666</v>
      </c>
      <c r="D155" s="45" t="s">
        <v>160</v>
      </c>
      <c r="E155">
        <v>1</v>
      </c>
      <c r="F155" s="45" t="s">
        <v>144</v>
      </c>
      <c r="G155" s="45" t="s">
        <v>10</v>
      </c>
      <c r="H155" s="45" t="s">
        <v>795</v>
      </c>
    </row>
    <row r="156" spans="1:8">
      <c r="A156">
        <v>155</v>
      </c>
      <c r="B156" s="45" t="s">
        <v>176</v>
      </c>
      <c r="C156" s="46">
        <v>45335.413888888892</v>
      </c>
      <c r="D156" s="45" t="s">
        <v>12</v>
      </c>
      <c r="E156">
        <v>1</v>
      </c>
      <c r="F156" s="45" t="s">
        <v>141</v>
      </c>
      <c r="G156" s="45" t="s">
        <v>14</v>
      </c>
      <c r="H156" s="45" t="s">
        <v>796</v>
      </c>
    </row>
    <row r="157" spans="1:8">
      <c r="A157">
        <v>156</v>
      </c>
      <c r="B157" s="45" t="s">
        <v>177</v>
      </c>
      <c r="C157" s="46">
        <v>45335.417361111111</v>
      </c>
      <c r="D157" s="45" t="s">
        <v>48</v>
      </c>
      <c r="E157">
        <v>1</v>
      </c>
      <c r="F157" s="45" t="s">
        <v>13</v>
      </c>
      <c r="G157" s="45" t="s">
        <v>10</v>
      </c>
      <c r="H157" s="45" t="s">
        <v>795</v>
      </c>
    </row>
    <row r="158" spans="1:8">
      <c r="A158">
        <v>157</v>
      </c>
      <c r="B158" s="45" t="s">
        <v>178</v>
      </c>
      <c r="C158" s="46">
        <v>45335.427777777775</v>
      </c>
      <c r="D158" s="45" t="s">
        <v>153</v>
      </c>
      <c r="E158">
        <v>1</v>
      </c>
      <c r="F158" s="45" t="s">
        <v>25</v>
      </c>
      <c r="G158" s="45" t="s">
        <v>14</v>
      </c>
      <c r="H158" s="45" t="s">
        <v>796</v>
      </c>
    </row>
    <row r="159" spans="1:8">
      <c r="A159">
        <v>158</v>
      </c>
      <c r="B159" s="45" t="s">
        <v>179</v>
      </c>
      <c r="C159" s="46">
        <v>45335.438194444447</v>
      </c>
      <c r="D159" s="45" t="s">
        <v>28</v>
      </c>
      <c r="E159">
        <v>1</v>
      </c>
      <c r="F159" s="45" t="s">
        <v>19</v>
      </c>
      <c r="G159" s="45" t="s">
        <v>10</v>
      </c>
      <c r="H159" s="45" t="s">
        <v>795</v>
      </c>
    </row>
    <row r="160" spans="1:8">
      <c r="A160">
        <v>159</v>
      </c>
      <c r="B160" s="45" t="s">
        <v>180</v>
      </c>
      <c r="C160" s="46">
        <v>45335.447916666664</v>
      </c>
      <c r="D160" s="45" t="s">
        <v>12</v>
      </c>
      <c r="E160">
        <v>1</v>
      </c>
      <c r="F160" s="45" t="s">
        <v>29</v>
      </c>
      <c r="G160" s="45" t="s">
        <v>14</v>
      </c>
      <c r="H160" s="45" t="s">
        <v>796</v>
      </c>
    </row>
    <row r="161" spans="1:8">
      <c r="A161">
        <v>160</v>
      </c>
      <c r="B161" s="45" t="s">
        <v>180</v>
      </c>
      <c r="C161" s="46">
        <v>45335.447916666664</v>
      </c>
      <c r="D161" s="45" t="s">
        <v>36</v>
      </c>
      <c r="E161">
        <v>1</v>
      </c>
      <c r="F161" s="45" t="s">
        <v>29</v>
      </c>
      <c r="G161" s="45" t="s">
        <v>789</v>
      </c>
      <c r="H161" s="45" t="s">
        <v>797</v>
      </c>
    </row>
    <row r="162" spans="1:8">
      <c r="A162">
        <v>161</v>
      </c>
      <c r="B162" s="45" t="s">
        <v>181</v>
      </c>
      <c r="C162" s="46">
        <v>45335.458333333336</v>
      </c>
      <c r="D162" s="45" t="s">
        <v>34</v>
      </c>
      <c r="E162">
        <v>1</v>
      </c>
      <c r="F162" s="45" t="s">
        <v>22</v>
      </c>
      <c r="G162" s="45" t="s">
        <v>10</v>
      </c>
      <c r="H162" s="45" t="s">
        <v>795</v>
      </c>
    </row>
    <row r="163" spans="1:8">
      <c r="A163">
        <v>162</v>
      </c>
      <c r="B163" s="45" t="s">
        <v>182</v>
      </c>
      <c r="C163" s="46">
        <v>45335.46875</v>
      </c>
      <c r="D163" s="45" t="s">
        <v>59</v>
      </c>
      <c r="E163">
        <v>1</v>
      </c>
      <c r="F163" s="45" t="s">
        <v>9</v>
      </c>
      <c r="G163" s="45" t="s">
        <v>14</v>
      </c>
      <c r="H163" s="45" t="s">
        <v>796</v>
      </c>
    </row>
    <row r="164" spans="1:8">
      <c r="A164">
        <v>163</v>
      </c>
      <c r="B164" s="45" t="s">
        <v>183</v>
      </c>
      <c r="C164" s="46">
        <v>45335.478472222225</v>
      </c>
      <c r="D164" s="45" t="s">
        <v>38</v>
      </c>
      <c r="E164">
        <v>1</v>
      </c>
      <c r="F164" s="45" t="s">
        <v>137</v>
      </c>
      <c r="G164" s="45" t="s">
        <v>10</v>
      </c>
      <c r="H164" s="45" t="s">
        <v>795</v>
      </c>
    </row>
    <row r="165" spans="1:8">
      <c r="A165">
        <v>164</v>
      </c>
      <c r="B165" s="45" t="s">
        <v>184</v>
      </c>
      <c r="C165" s="46">
        <v>45335.488194444442</v>
      </c>
      <c r="D165" s="45" t="s">
        <v>160</v>
      </c>
      <c r="E165">
        <v>1</v>
      </c>
      <c r="F165" s="45" t="s">
        <v>37</v>
      </c>
      <c r="G165" s="45" t="s">
        <v>14</v>
      </c>
      <c r="H165" s="45" t="s">
        <v>796</v>
      </c>
    </row>
    <row r="166" spans="1:8">
      <c r="A166">
        <v>165</v>
      </c>
      <c r="B166" s="45" t="s">
        <v>184</v>
      </c>
      <c r="C166" s="46">
        <v>45335.488194444442</v>
      </c>
      <c r="D166" s="45" t="s">
        <v>30</v>
      </c>
      <c r="E166">
        <v>1</v>
      </c>
      <c r="F166" s="45" t="s">
        <v>37</v>
      </c>
      <c r="G166" s="45" t="s">
        <v>789</v>
      </c>
      <c r="H166" s="45" t="s">
        <v>797</v>
      </c>
    </row>
    <row r="167" spans="1:8">
      <c r="A167">
        <v>166</v>
      </c>
      <c r="B167" s="45" t="s">
        <v>185</v>
      </c>
      <c r="C167" s="46">
        <v>45335.497916666667</v>
      </c>
      <c r="D167" s="45" t="s">
        <v>8</v>
      </c>
      <c r="E167">
        <v>1</v>
      </c>
      <c r="F167" s="45" t="s">
        <v>144</v>
      </c>
      <c r="G167" s="45" t="s">
        <v>10</v>
      </c>
      <c r="H167" s="45" t="s">
        <v>795</v>
      </c>
    </row>
    <row r="168" spans="1:8">
      <c r="A168">
        <v>167</v>
      </c>
      <c r="B168" s="45" t="s">
        <v>186</v>
      </c>
      <c r="C168" s="46">
        <v>45335.502083333333</v>
      </c>
      <c r="D168" s="45" t="s">
        <v>54</v>
      </c>
      <c r="E168">
        <v>1</v>
      </c>
      <c r="F168" s="45" t="s">
        <v>141</v>
      </c>
      <c r="G168" s="45" t="s">
        <v>14</v>
      </c>
      <c r="H168" s="45" t="s">
        <v>796</v>
      </c>
    </row>
    <row r="169" spans="1:8">
      <c r="A169">
        <v>168</v>
      </c>
      <c r="B169" s="45" t="s">
        <v>187</v>
      </c>
      <c r="C169" s="46">
        <v>45335.506944444445</v>
      </c>
      <c r="D169" s="45" t="s">
        <v>56</v>
      </c>
      <c r="E169">
        <v>1</v>
      </c>
      <c r="F169" s="45" t="s">
        <v>9</v>
      </c>
      <c r="G169" s="45" t="s">
        <v>10</v>
      </c>
      <c r="H169" s="45" t="s">
        <v>795</v>
      </c>
    </row>
    <row r="170" spans="1:8">
      <c r="A170">
        <v>169</v>
      </c>
      <c r="B170" s="45" t="s">
        <v>188</v>
      </c>
      <c r="C170" s="46">
        <v>45335.511805555558</v>
      </c>
      <c r="D170" s="45" t="s">
        <v>89</v>
      </c>
      <c r="E170">
        <v>1</v>
      </c>
      <c r="F170" s="45" t="s">
        <v>13</v>
      </c>
      <c r="G170" s="45" t="s">
        <v>14</v>
      </c>
      <c r="H170" s="45" t="s">
        <v>796</v>
      </c>
    </row>
    <row r="171" spans="1:8">
      <c r="A171">
        <v>170</v>
      </c>
      <c r="B171" s="45" t="s">
        <v>189</v>
      </c>
      <c r="C171" s="46">
        <v>45335.51666666667</v>
      </c>
      <c r="D171" s="45" t="s">
        <v>160</v>
      </c>
      <c r="E171">
        <v>1</v>
      </c>
      <c r="F171" s="45" t="s">
        <v>25</v>
      </c>
      <c r="G171" s="45" t="s">
        <v>10</v>
      </c>
      <c r="H171" s="45" t="s">
        <v>795</v>
      </c>
    </row>
    <row r="172" spans="1:8">
      <c r="A172">
        <v>171</v>
      </c>
      <c r="B172" s="45" t="s">
        <v>189</v>
      </c>
      <c r="C172" s="46">
        <v>45335.51666666667</v>
      </c>
      <c r="D172" s="45" t="s">
        <v>34</v>
      </c>
      <c r="E172">
        <v>1</v>
      </c>
      <c r="F172" s="45" t="s">
        <v>25</v>
      </c>
      <c r="G172" s="45" t="s">
        <v>789</v>
      </c>
      <c r="H172" s="45" t="s">
        <v>797</v>
      </c>
    </row>
    <row r="173" spans="1:8">
      <c r="A173">
        <v>172</v>
      </c>
      <c r="B173" s="45" t="s">
        <v>190</v>
      </c>
      <c r="C173" s="46">
        <v>45335.521527777775</v>
      </c>
      <c r="D173" s="45" t="s">
        <v>45</v>
      </c>
      <c r="E173">
        <v>1</v>
      </c>
      <c r="F173" s="45" t="s">
        <v>16</v>
      </c>
      <c r="G173" s="45" t="s">
        <v>14</v>
      </c>
      <c r="H173" s="45" t="s">
        <v>796</v>
      </c>
    </row>
    <row r="174" spans="1:8">
      <c r="A174">
        <v>173</v>
      </c>
      <c r="B174" s="45" t="s">
        <v>191</v>
      </c>
      <c r="C174" s="46">
        <v>45335.526388888888</v>
      </c>
      <c r="D174" s="45" t="s">
        <v>30</v>
      </c>
      <c r="E174">
        <v>1</v>
      </c>
      <c r="F174" s="45" t="s">
        <v>19</v>
      </c>
      <c r="G174" s="45" t="s">
        <v>10</v>
      </c>
      <c r="H174" s="45" t="s">
        <v>795</v>
      </c>
    </row>
    <row r="175" spans="1:8">
      <c r="A175">
        <v>174</v>
      </c>
      <c r="B175" s="45" t="s">
        <v>192</v>
      </c>
      <c r="C175" s="46">
        <v>45335.53125</v>
      </c>
      <c r="D175" s="45" t="s">
        <v>42</v>
      </c>
      <c r="E175">
        <v>1</v>
      </c>
      <c r="F175" s="45" t="s">
        <v>22</v>
      </c>
      <c r="G175" s="45" t="s">
        <v>14</v>
      </c>
      <c r="H175" s="45" t="s">
        <v>796</v>
      </c>
    </row>
    <row r="176" spans="1:8">
      <c r="A176">
        <v>175</v>
      </c>
      <c r="B176" s="45" t="s">
        <v>193</v>
      </c>
      <c r="C176" s="46">
        <v>45335.536111111112</v>
      </c>
      <c r="D176" s="45" t="s">
        <v>26</v>
      </c>
      <c r="E176">
        <v>1</v>
      </c>
      <c r="F176" s="45" t="s">
        <v>29</v>
      </c>
      <c r="G176" s="45" t="s">
        <v>10</v>
      </c>
      <c r="H176" s="45" t="s">
        <v>795</v>
      </c>
    </row>
    <row r="177" spans="1:8">
      <c r="A177">
        <v>176</v>
      </c>
      <c r="B177" s="45" t="s">
        <v>194</v>
      </c>
      <c r="C177" s="46">
        <v>45335.540972222225</v>
      </c>
      <c r="D177" s="45" t="s">
        <v>48</v>
      </c>
      <c r="E177">
        <v>1</v>
      </c>
      <c r="F177" s="45" t="s">
        <v>33</v>
      </c>
      <c r="G177" s="45" t="s">
        <v>14</v>
      </c>
      <c r="H177" s="45" t="s">
        <v>796</v>
      </c>
    </row>
    <row r="178" spans="1:8">
      <c r="A178">
        <v>177</v>
      </c>
      <c r="B178" s="45" t="s">
        <v>194</v>
      </c>
      <c r="C178" s="46">
        <v>45335.540972222225</v>
      </c>
      <c r="D178" s="45" t="s">
        <v>166</v>
      </c>
      <c r="E178">
        <v>1</v>
      </c>
      <c r="F178" s="45" t="s">
        <v>33</v>
      </c>
      <c r="G178" s="45" t="s">
        <v>789</v>
      </c>
      <c r="H178" s="45" t="s">
        <v>797</v>
      </c>
    </row>
    <row r="179" spans="1:8">
      <c r="A179">
        <v>178</v>
      </c>
      <c r="B179" s="45" t="s">
        <v>195</v>
      </c>
      <c r="C179" s="46">
        <v>45335.54583333333</v>
      </c>
      <c r="D179" s="45" t="s">
        <v>52</v>
      </c>
      <c r="E179">
        <v>1</v>
      </c>
      <c r="F179" s="45" t="s">
        <v>37</v>
      </c>
      <c r="G179" s="45" t="s">
        <v>10</v>
      </c>
      <c r="H179" s="45" t="s">
        <v>795</v>
      </c>
    </row>
    <row r="180" spans="1:8">
      <c r="A180">
        <v>179</v>
      </c>
      <c r="B180" s="45" t="s">
        <v>196</v>
      </c>
      <c r="C180" s="46">
        <v>45335.550694444442</v>
      </c>
      <c r="D180" s="45" t="s">
        <v>24</v>
      </c>
      <c r="E180">
        <v>1</v>
      </c>
      <c r="F180" s="45" t="s">
        <v>40</v>
      </c>
      <c r="G180" s="45" t="s">
        <v>14</v>
      </c>
      <c r="H180" s="45" t="s">
        <v>796</v>
      </c>
    </row>
    <row r="181" spans="1:8">
      <c r="A181">
        <v>180</v>
      </c>
      <c r="B181" s="45" t="s">
        <v>197</v>
      </c>
      <c r="C181" s="46">
        <v>45335.555555555555</v>
      </c>
      <c r="D181" s="45" t="s">
        <v>18</v>
      </c>
      <c r="E181">
        <v>1</v>
      </c>
      <c r="F181" s="45" t="s">
        <v>43</v>
      </c>
      <c r="G181" s="45" t="s">
        <v>10</v>
      </c>
      <c r="H181" s="45" t="s">
        <v>795</v>
      </c>
    </row>
    <row r="182" spans="1:8">
      <c r="A182">
        <v>181</v>
      </c>
      <c r="B182" s="45" t="s">
        <v>198</v>
      </c>
      <c r="C182" s="46">
        <v>45335.560416666667</v>
      </c>
      <c r="D182" s="45" t="s">
        <v>28</v>
      </c>
      <c r="E182">
        <v>1</v>
      </c>
      <c r="F182" s="45" t="s">
        <v>137</v>
      </c>
      <c r="G182" s="45" t="s">
        <v>14</v>
      </c>
      <c r="H182" s="45" t="s">
        <v>796</v>
      </c>
    </row>
    <row r="183" spans="1:8">
      <c r="A183">
        <v>182</v>
      </c>
      <c r="B183" s="45" t="s">
        <v>198</v>
      </c>
      <c r="C183" s="46">
        <v>45335.560416666667</v>
      </c>
      <c r="D183" s="45" t="s">
        <v>38</v>
      </c>
      <c r="E183">
        <v>1</v>
      </c>
      <c r="F183" s="45" t="s">
        <v>137</v>
      </c>
      <c r="G183" s="45" t="s">
        <v>789</v>
      </c>
      <c r="H183" s="45" t="s">
        <v>797</v>
      </c>
    </row>
    <row r="184" spans="1:8">
      <c r="A184">
        <v>183</v>
      </c>
      <c r="B184" s="45" t="s">
        <v>199</v>
      </c>
      <c r="C184" s="46">
        <v>45335.56527777778</v>
      </c>
      <c r="D184" s="45" t="s">
        <v>142</v>
      </c>
      <c r="E184">
        <v>1</v>
      </c>
      <c r="F184" s="45" t="s">
        <v>144</v>
      </c>
      <c r="G184" s="45" t="s">
        <v>10</v>
      </c>
      <c r="H184" s="45" t="s">
        <v>795</v>
      </c>
    </row>
    <row r="185" spans="1:8">
      <c r="A185">
        <v>184</v>
      </c>
      <c r="B185" s="45" t="s">
        <v>200</v>
      </c>
      <c r="C185" s="46">
        <v>45335.570138888892</v>
      </c>
      <c r="D185" s="45" t="s">
        <v>123</v>
      </c>
      <c r="E185">
        <v>1</v>
      </c>
      <c r="F185" s="45" t="s">
        <v>9</v>
      </c>
      <c r="G185" s="45" t="s">
        <v>14</v>
      </c>
      <c r="H185" s="45" t="s">
        <v>796</v>
      </c>
    </row>
    <row r="186" spans="1:8">
      <c r="A186">
        <v>185</v>
      </c>
      <c r="B186" s="45" t="s">
        <v>201</v>
      </c>
      <c r="C186" s="46">
        <v>45335.574999999997</v>
      </c>
      <c r="D186" s="45" t="s">
        <v>21</v>
      </c>
      <c r="E186">
        <v>1</v>
      </c>
      <c r="F186" s="45" t="s">
        <v>141</v>
      </c>
      <c r="G186" s="45" t="s">
        <v>10</v>
      </c>
      <c r="H186" s="45" t="s">
        <v>795</v>
      </c>
    </row>
    <row r="187" spans="1:8">
      <c r="A187">
        <v>186</v>
      </c>
      <c r="B187" s="45" t="s">
        <v>202</v>
      </c>
      <c r="C187" s="46">
        <v>45335.579861111109</v>
      </c>
      <c r="D187" s="45" t="s">
        <v>67</v>
      </c>
      <c r="E187">
        <v>1</v>
      </c>
      <c r="F187" s="45" t="s">
        <v>13</v>
      </c>
      <c r="G187" s="45" t="s">
        <v>14</v>
      </c>
      <c r="H187" s="45" t="s">
        <v>796</v>
      </c>
    </row>
    <row r="188" spans="1:8">
      <c r="A188">
        <v>187</v>
      </c>
      <c r="B188" s="45" t="s">
        <v>202</v>
      </c>
      <c r="C188" s="46">
        <v>45335.579861111109</v>
      </c>
      <c r="D188" s="45" t="s">
        <v>50</v>
      </c>
      <c r="E188">
        <v>1</v>
      </c>
      <c r="F188" s="45" t="s">
        <v>13</v>
      </c>
      <c r="G188" s="45" t="s">
        <v>789</v>
      </c>
      <c r="H188" s="45" t="s">
        <v>797</v>
      </c>
    </row>
    <row r="189" spans="1:8">
      <c r="A189">
        <v>188</v>
      </c>
      <c r="B189" s="45" t="s">
        <v>203</v>
      </c>
      <c r="C189" s="46">
        <v>45335.585416666669</v>
      </c>
      <c r="D189" s="45" t="s">
        <v>32</v>
      </c>
      <c r="E189">
        <v>1</v>
      </c>
      <c r="F189" s="45" t="s">
        <v>25</v>
      </c>
      <c r="G189" s="45" t="s">
        <v>10</v>
      </c>
      <c r="H189" s="45" t="s">
        <v>795</v>
      </c>
    </row>
    <row r="190" spans="1:8">
      <c r="A190">
        <v>189</v>
      </c>
      <c r="B190" s="45" t="s">
        <v>204</v>
      </c>
      <c r="C190" s="46">
        <v>45335.590277777781</v>
      </c>
      <c r="D190" s="45" t="s">
        <v>36</v>
      </c>
      <c r="E190">
        <v>1</v>
      </c>
      <c r="F190" s="45" t="s">
        <v>16</v>
      </c>
      <c r="G190" s="45" t="s">
        <v>14</v>
      </c>
      <c r="H190" s="45" t="s">
        <v>796</v>
      </c>
    </row>
    <row r="191" spans="1:8">
      <c r="A191">
        <v>190</v>
      </c>
      <c r="B191" s="45" t="s">
        <v>205</v>
      </c>
      <c r="C191" s="46">
        <v>45335.604166666664</v>
      </c>
      <c r="D191" s="45" t="s">
        <v>59</v>
      </c>
      <c r="E191">
        <v>1</v>
      </c>
      <c r="F191" s="45" t="s">
        <v>13</v>
      </c>
      <c r="G191" s="45" t="s">
        <v>10</v>
      </c>
      <c r="H191" s="45" t="s">
        <v>795</v>
      </c>
    </row>
    <row r="192" spans="1:8">
      <c r="A192">
        <v>191</v>
      </c>
      <c r="B192" s="45" t="s">
        <v>206</v>
      </c>
      <c r="C192" s="46">
        <v>45335.618055555555</v>
      </c>
      <c r="D192" s="45" t="s">
        <v>34</v>
      </c>
      <c r="E192">
        <v>1</v>
      </c>
      <c r="F192" s="45" t="s">
        <v>141</v>
      </c>
      <c r="G192" s="45" t="s">
        <v>14</v>
      </c>
      <c r="H192" s="45" t="s">
        <v>796</v>
      </c>
    </row>
    <row r="193" spans="1:8">
      <c r="A193">
        <v>192</v>
      </c>
      <c r="B193" s="45" t="s">
        <v>207</v>
      </c>
      <c r="C193" s="46">
        <v>45335.631944444445</v>
      </c>
      <c r="D193" s="45" t="s">
        <v>28</v>
      </c>
      <c r="E193">
        <v>1</v>
      </c>
      <c r="F193" s="45" t="s">
        <v>9</v>
      </c>
      <c r="G193" s="45" t="s">
        <v>10</v>
      </c>
      <c r="H193" s="45" t="s">
        <v>795</v>
      </c>
    </row>
    <row r="194" spans="1:8">
      <c r="A194">
        <v>193</v>
      </c>
      <c r="B194" s="45" t="s">
        <v>208</v>
      </c>
      <c r="C194" s="46">
        <v>45335.645833333336</v>
      </c>
      <c r="D194" s="45" t="s">
        <v>153</v>
      </c>
      <c r="E194">
        <v>1</v>
      </c>
      <c r="F194" s="45" t="s">
        <v>25</v>
      </c>
      <c r="G194" s="45" t="s">
        <v>14</v>
      </c>
      <c r="H194" s="45" t="s">
        <v>796</v>
      </c>
    </row>
    <row r="195" spans="1:8">
      <c r="A195">
        <v>194</v>
      </c>
      <c r="B195" s="45" t="s">
        <v>209</v>
      </c>
      <c r="C195" s="46">
        <v>45335.659722222219</v>
      </c>
      <c r="D195" s="45" t="s">
        <v>38</v>
      </c>
      <c r="E195">
        <v>1</v>
      </c>
      <c r="F195" s="45" t="s">
        <v>16</v>
      </c>
      <c r="G195" s="45" t="s">
        <v>10</v>
      </c>
      <c r="H195" s="45" t="s">
        <v>795</v>
      </c>
    </row>
    <row r="196" spans="1:8">
      <c r="A196">
        <v>195</v>
      </c>
      <c r="B196" s="45" t="s">
        <v>210</v>
      </c>
      <c r="C196" s="46">
        <v>45335.67291666667</v>
      </c>
      <c r="D196" s="45" t="s">
        <v>56</v>
      </c>
      <c r="E196">
        <v>1</v>
      </c>
      <c r="F196" s="45" t="s">
        <v>19</v>
      </c>
      <c r="G196" s="45" t="s">
        <v>14</v>
      </c>
      <c r="H196" s="45" t="s">
        <v>796</v>
      </c>
    </row>
    <row r="197" spans="1:8">
      <c r="A197">
        <v>196</v>
      </c>
      <c r="B197" s="45" t="s">
        <v>210</v>
      </c>
      <c r="C197" s="46">
        <v>45335.67291666667</v>
      </c>
      <c r="D197" s="45" t="s">
        <v>142</v>
      </c>
      <c r="E197">
        <v>1</v>
      </c>
      <c r="F197" s="45" t="s">
        <v>19</v>
      </c>
      <c r="G197" s="45" t="s">
        <v>789</v>
      </c>
      <c r="H197" s="45" t="s">
        <v>797</v>
      </c>
    </row>
    <row r="198" spans="1:8">
      <c r="A198">
        <v>197</v>
      </c>
      <c r="B198" s="45" t="s">
        <v>211</v>
      </c>
      <c r="C198" s="46">
        <v>45335.686805555553</v>
      </c>
      <c r="D198" s="45" t="s">
        <v>12</v>
      </c>
      <c r="E198">
        <v>1</v>
      </c>
      <c r="F198" s="45" t="s">
        <v>22</v>
      </c>
      <c r="G198" s="45" t="s">
        <v>10</v>
      </c>
      <c r="H198" s="45" t="s">
        <v>795</v>
      </c>
    </row>
    <row r="199" spans="1:8">
      <c r="A199">
        <v>198</v>
      </c>
      <c r="B199" s="45" t="s">
        <v>212</v>
      </c>
      <c r="C199" s="46">
        <v>45335.700694444444</v>
      </c>
      <c r="D199" s="45" t="s">
        <v>50</v>
      </c>
      <c r="E199">
        <v>1</v>
      </c>
      <c r="F199" s="45" t="s">
        <v>29</v>
      </c>
      <c r="G199" s="45" t="s">
        <v>14</v>
      </c>
      <c r="H199" s="45" t="s">
        <v>796</v>
      </c>
    </row>
    <row r="200" spans="1:8">
      <c r="A200">
        <v>199</v>
      </c>
      <c r="B200" s="45" t="s">
        <v>213</v>
      </c>
      <c r="C200" s="46">
        <v>45335.708333333336</v>
      </c>
      <c r="D200" s="45" t="s">
        <v>45</v>
      </c>
      <c r="E200">
        <v>1</v>
      </c>
      <c r="F200" s="45" t="s">
        <v>33</v>
      </c>
      <c r="G200" s="45" t="s">
        <v>10</v>
      </c>
      <c r="H200" s="45" t="s">
        <v>795</v>
      </c>
    </row>
    <row r="201" spans="1:8">
      <c r="A201">
        <v>200</v>
      </c>
      <c r="B201" s="45" t="s">
        <v>214</v>
      </c>
      <c r="C201" s="46">
        <v>45336.29583333333</v>
      </c>
      <c r="D201" s="45" t="s">
        <v>24</v>
      </c>
      <c r="E201">
        <v>1</v>
      </c>
      <c r="F201" s="45" t="s">
        <v>215</v>
      </c>
      <c r="G201" s="45" t="s">
        <v>10</v>
      </c>
      <c r="H201" s="45" t="s">
        <v>795</v>
      </c>
    </row>
    <row r="202" spans="1:8">
      <c r="A202">
        <v>201</v>
      </c>
      <c r="B202" s="45" t="s">
        <v>216</v>
      </c>
      <c r="C202" s="46">
        <v>45336.300694444442</v>
      </c>
      <c r="D202" s="45" t="s">
        <v>12</v>
      </c>
      <c r="E202">
        <v>1</v>
      </c>
      <c r="F202" s="45" t="s">
        <v>13</v>
      </c>
      <c r="G202" s="45" t="s">
        <v>14</v>
      </c>
      <c r="H202" s="45" t="s">
        <v>796</v>
      </c>
    </row>
    <row r="203" spans="1:8">
      <c r="A203">
        <v>202</v>
      </c>
      <c r="B203" s="45" t="s">
        <v>217</v>
      </c>
      <c r="C203" s="46">
        <v>45336.305555555555</v>
      </c>
      <c r="D203" s="45" t="s">
        <v>160</v>
      </c>
      <c r="E203">
        <v>1</v>
      </c>
      <c r="F203" s="45" t="s">
        <v>141</v>
      </c>
      <c r="G203" s="45" t="s">
        <v>10</v>
      </c>
      <c r="H203" s="45" t="s">
        <v>795</v>
      </c>
    </row>
    <row r="204" spans="1:8">
      <c r="A204">
        <v>203</v>
      </c>
      <c r="B204" s="45" t="s">
        <v>218</v>
      </c>
      <c r="C204" s="46">
        <v>45336.310416666667</v>
      </c>
      <c r="D204" s="45" t="s">
        <v>8</v>
      </c>
      <c r="E204">
        <v>1</v>
      </c>
      <c r="F204" s="45" t="s">
        <v>9</v>
      </c>
      <c r="G204" s="45" t="s">
        <v>14</v>
      </c>
      <c r="H204" s="45" t="s">
        <v>796</v>
      </c>
    </row>
    <row r="205" spans="1:8">
      <c r="A205">
        <v>204</v>
      </c>
      <c r="B205" s="45" t="s">
        <v>218</v>
      </c>
      <c r="C205" s="46">
        <v>45336.310416666667</v>
      </c>
      <c r="D205" s="45" t="s">
        <v>54</v>
      </c>
      <c r="E205">
        <v>1</v>
      </c>
      <c r="F205" s="45" t="s">
        <v>9</v>
      </c>
      <c r="G205" s="45" t="s">
        <v>789</v>
      </c>
      <c r="H205" s="45" t="s">
        <v>797</v>
      </c>
    </row>
    <row r="206" spans="1:8">
      <c r="A206">
        <v>205</v>
      </c>
      <c r="B206" s="45" t="s">
        <v>219</v>
      </c>
      <c r="C206" s="46">
        <v>45336.31527777778</v>
      </c>
      <c r="D206" s="45" t="s">
        <v>67</v>
      </c>
      <c r="E206">
        <v>1</v>
      </c>
      <c r="F206" s="45" t="s">
        <v>25</v>
      </c>
      <c r="G206" s="45" t="s">
        <v>10</v>
      </c>
      <c r="H206" s="45" t="s">
        <v>795</v>
      </c>
    </row>
    <row r="207" spans="1:8">
      <c r="A207">
        <v>206</v>
      </c>
      <c r="B207" s="45" t="s">
        <v>220</v>
      </c>
      <c r="C207" s="46">
        <v>45336.320138888892</v>
      </c>
      <c r="D207" s="45" t="s">
        <v>28</v>
      </c>
      <c r="E207">
        <v>1</v>
      </c>
      <c r="F207" s="45" t="s">
        <v>16</v>
      </c>
      <c r="G207" s="45" t="s">
        <v>14</v>
      </c>
      <c r="H207" s="45" t="s">
        <v>796</v>
      </c>
    </row>
    <row r="208" spans="1:8">
      <c r="A208">
        <v>207</v>
      </c>
      <c r="B208" s="45" t="s">
        <v>221</v>
      </c>
      <c r="C208" s="46">
        <v>45336.325694444444</v>
      </c>
      <c r="D208" s="45" t="s">
        <v>36</v>
      </c>
      <c r="E208">
        <v>1</v>
      </c>
      <c r="F208" s="45" t="s">
        <v>19</v>
      </c>
      <c r="G208" s="45" t="s">
        <v>10</v>
      </c>
      <c r="H208" s="45" t="s">
        <v>795</v>
      </c>
    </row>
    <row r="209" spans="1:8">
      <c r="A209">
        <v>208</v>
      </c>
      <c r="B209" s="45" t="s">
        <v>222</v>
      </c>
      <c r="C209" s="46">
        <v>45336.330555555556</v>
      </c>
      <c r="D209" s="45" t="s">
        <v>38</v>
      </c>
      <c r="E209">
        <v>1</v>
      </c>
      <c r="F209" s="45" t="s">
        <v>22</v>
      </c>
      <c r="G209" s="45" t="s">
        <v>14</v>
      </c>
      <c r="H209" s="45" t="s">
        <v>796</v>
      </c>
    </row>
    <row r="210" spans="1:8">
      <c r="A210">
        <v>209</v>
      </c>
      <c r="B210" s="45" t="s">
        <v>223</v>
      </c>
      <c r="C210" s="46">
        <v>45336.335416666669</v>
      </c>
      <c r="D210" s="45" t="s">
        <v>18</v>
      </c>
      <c r="E210">
        <v>1</v>
      </c>
      <c r="F210" s="45" t="s">
        <v>29</v>
      </c>
      <c r="G210" s="45" t="s">
        <v>10</v>
      </c>
      <c r="H210" s="45" t="s">
        <v>795</v>
      </c>
    </row>
    <row r="211" spans="1:8">
      <c r="A211">
        <v>210</v>
      </c>
      <c r="B211" s="45" t="s">
        <v>224</v>
      </c>
      <c r="C211" s="46">
        <v>45336.340277777781</v>
      </c>
      <c r="D211" s="45" t="s">
        <v>42</v>
      </c>
      <c r="E211">
        <v>1</v>
      </c>
      <c r="F211" s="45" t="s">
        <v>33</v>
      </c>
      <c r="G211" s="45" t="s">
        <v>14</v>
      </c>
      <c r="H211" s="45" t="s">
        <v>796</v>
      </c>
    </row>
    <row r="212" spans="1:8">
      <c r="A212">
        <v>211</v>
      </c>
      <c r="B212" s="45" t="s">
        <v>225</v>
      </c>
      <c r="C212" s="46">
        <v>45336.345138888886</v>
      </c>
      <c r="D212" s="45" t="s">
        <v>153</v>
      </c>
      <c r="E212">
        <v>1</v>
      </c>
      <c r="F212" s="45" t="s">
        <v>37</v>
      </c>
      <c r="G212" s="45" t="s">
        <v>10</v>
      </c>
      <c r="H212" s="45" t="s">
        <v>795</v>
      </c>
    </row>
    <row r="213" spans="1:8">
      <c r="A213">
        <v>212</v>
      </c>
      <c r="B213" s="45" t="s">
        <v>226</v>
      </c>
      <c r="C213" s="46">
        <v>45336.35</v>
      </c>
      <c r="D213" s="45" t="s">
        <v>32</v>
      </c>
      <c r="E213">
        <v>1</v>
      </c>
      <c r="F213" s="45" t="s">
        <v>40</v>
      </c>
      <c r="G213" s="45" t="s">
        <v>14</v>
      </c>
      <c r="H213" s="45" t="s">
        <v>796</v>
      </c>
    </row>
    <row r="214" spans="1:8">
      <c r="A214">
        <v>213</v>
      </c>
      <c r="B214" s="45" t="s">
        <v>227</v>
      </c>
      <c r="C214" s="46">
        <v>45336.354861111111</v>
      </c>
      <c r="D214" s="45" t="s">
        <v>30</v>
      </c>
      <c r="E214">
        <v>1</v>
      </c>
      <c r="F214" s="45" t="s">
        <v>43</v>
      </c>
      <c r="G214" s="45" t="s">
        <v>10</v>
      </c>
      <c r="H214" s="45" t="s">
        <v>795</v>
      </c>
    </row>
    <row r="215" spans="1:8">
      <c r="A215">
        <v>214</v>
      </c>
      <c r="B215" s="45" t="s">
        <v>228</v>
      </c>
      <c r="C215" s="46">
        <v>45336.359722222223</v>
      </c>
      <c r="D215" s="45" t="s">
        <v>123</v>
      </c>
      <c r="E215">
        <v>1</v>
      </c>
      <c r="F215" s="45" t="s">
        <v>137</v>
      </c>
      <c r="G215" s="45" t="s">
        <v>14</v>
      </c>
      <c r="H215" s="45" t="s">
        <v>796</v>
      </c>
    </row>
    <row r="216" spans="1:8">
      <c r="A216">
        <v>215</v>
      </c>
      <c r="B216" s="45" t="s">
        <v>229</v>
      </c>
      <c r="C216" s="46">
        <v>45336.364583333336</v>
      </c>
      <c r="D216" s="45" t="s">
        <v>166</v>
      </c>
      <c r="E216">
        <v>1</v>
      </c>
      <c r="F216" s="45" t="s">
        <v>144</v>
      </c>
      <c r="G216" s="45" t="s">
        <v>10</v>
      </c>
      <c r="H216" s="45" t="s">
        <v>795</v>
      </c>
    </row>
    <row r="217" spans="1:8">
      <c r="A217">
        <v>216</v>
      </c>
      <c r="B217" s="45" t="s">
        <v>229</v>
      </c>
      <c r="C217" s="46">
        <v>45336.364583333336</v>
      </c>
      <c r="D217" s="45" t="s">
        <v>45</v>
      </c>
      <c r="E217">
        <v>1</v>
      </c>
      <c r="F217" s="45" t="s">
        <v>144</v>
      </c>
      <c r="G217" s="45" t="s">
        <v>789</v>
      </c>
      <c r="H217" s="45" t="s">
        <v>797</v>
      </c>
    </row>
    <row r="218" spans="1:8">
      <c r="A218">
        <v>217</v>
      </c>
      <c r="B218" s="45" t="s">
        <v>230</v>
      </c>
      <c r="C218" s="46">
        <v>45336.370138888888</v>
      </c>
      <c r="D218" s="45" t="s">
        <v>110</v>
      </c>
      <c r="E218">
        <v>1</v>
      </c>
      <c r="F218" s="45" t="s">
        <v>9</v>
      </c>
      <c r="G218" s="45" t="s">
        <v>14</v>
      </c>
      <c r="H218" s="45" t="s">
        <v>796</v>
      </c>
    </row>
    <row r="219" spans="1:8">
      <c r="A219">
        <v>218</v>
      </c>
      <c r="B219" s="45" t="s">
        <v>231</v>
      </c>
      <c r="C219" s="46">
        <v>45336.375</v>
      </c>
      <c r="D219" s="45" t="s">
        <v>142</v>
      </c>
      <c r="E219">
        <v>1</v>
      </c>
      <c r="F219" s="45" t="s">
        <v>13</v>
      </c>
      <c r="G219" s="45" t="s">
        <v>10</v>
      </c>
      <c r="H219" s="45" t="s">
        <v>795</v>
      </c>
    </row>
    <row r="220" spans="1:8">
      <c r="A220">
        <v>219</v>
      </c>
      <c r="B220" s="45" t="s">
        <v>232</v>
      </c>
      <c r="C220" s="46">
        <v>45336.379861111112</v>
      </c>
      <c r="D220" s="45" t="s">
        <v>56</v>
      </c>
      <c r="E220">
        <v>1</v>
      </c>
      <c r="F220" s="45" t="s">
        <v>141</v>
      </c>
      <c r="G220" s="45" t="s">
        <v>14</v>
      </c>
      <c r="H220" s="45" t="s">
        <v>796</v>
      </c>
    </row>
    <row r="221" spans="1:8">
      <c r="A221">
        <v>220</v>
      </c>
      <c r="B221" s="45" t="s">
        <v>233</v>
      </c>
      <c r="C221" s="46">
        <v>45336.384722222225</v>
      </c>
      <c r="D221" s="45" t="s">
        <v>26</v>
      </c>
      <c r="E221">
        <v>1</v>
      </c>
      <c r="F221" s="45" t="s">
        <v>25</v>
      </c>
      <c r="G221" s="45" t="s">
        <v>10</v>
      </c>
      <c r="H221" s="45" t="s">
        <v>795</v>
      </c>
    </row>
    <row r="222" spans="1:8">
      <c r="A222">
        <v>221</v>
      </c>
      <c r="B222" s="45" t="s">
        <v>234</v>
      </c>
      <c r="C222" s="46">
        <v>45336.38958333333</v>
      </c>
      <c r="D222" s="45" t="s">
        <v>21</v>
      </c>
      <c r="E222">
        <v>1</v>
      </c>
      <c r="F222" s="45" t="s">
        <v>16</v>
      </c>
      <c r="G222" s="45" t="s">
        <v>14</v>
      </c>
      <c r="H222" s="45" t="s">
        <v>796</v>
      </c>
    </row>
    <row r="223" spans="1:8">
      <c r="A223">
        <v>222</v>
      </c>
      <c r="B223" s="45" t="s">
        <v>235</v>
      </c>
      <c r="C223" s="46">
        <v>45336.394444444442</v>
      </c>
      <c r="D223" s="45" t="s">
        <v>52</v>
      </c>
      <c r="E223">
        <v>1</v>
      </c>
      <c r="F223" s="45" t="s">
        <v>19</v>
      </c>
      <c r="G223" s="45" t="s">
        <v>10</v>
      </c>
      <c r="H223" s="45" t="s">
        <v>795</v>
      </c>
    </row>
    <row r="224" spans="1:8">
      <c r="A224">
        <v>223</v>
      </c>
      <c r="B224" s="45" t="s">
        <v>236</v>
      </c>
      <c r="C224" s="46">
        <v>45336.399305555555</v>
      </c>
      <c r="D224" s="45" t="s">
        <v>48</v>
      </c>
      <c r="E224">
        <v>1</v>
      </c>
      <c r="F224" s="45" t="s">
        <v>22</v>
      </c>
      <c r="G224" s="45" t="s">
        <v>14</v>
      </c>
      <c r="H224" s="45" t="s">
        <v>796</v>
      </c>
    </row>
    <row r="225" spans="1:8">
      <c r="A225">
        <v>224</v>
      </c>
      <c r="B225" s="45" t="s">
        <v>237</v>
      </c>
      <c r="C225" s="46">
        <v>45336.404166666667</v>
      </c>
      <c r="D225" s="45" t="s">
        <v>59</v>
      </c>
      <c r="E225">
        <v>1</v>
      </c>
      <c r="F225" s="45" t="s">
        <v>29</v>
      </c>
      <c r="G225" s="45" t="s">
        <v>10</v>
      </c>
      <c r="H225" s="45" t="s">
        <v>795</v>
      </c>
    </row>
    <row r="226" spans="1:8">
      <c r="A226">
        <v>225</v>
      </c>
      <c r="B226" s="45" t="s">
        <v>238</v>
      </c>
      <c r="C226" s="46">
        <v>45336.40902777778</v>
      </c>
      <c r="D226" s="45" t="s">
        <v>34</v>
      </c>
      <c r="E226">
        <v>1</v>
      </c>
      <c r="F226" s="45" t="s">
        <v>33</v>
      </c>
      <c r="G226" s="45" t="s">
        <v>14</v>
      </c>
      <c r="H226" s="45" t="s">
        <v>796</v>
      </c>
    </row>
    <row r="227" spans="1:8">
      <c r="A227">
        <v>226</v>
      </c>
      <c r="B227" s="45" t="s">
        <v>239</v>
      </c>
      <c r="C227" s="46">
        <v>45336.414583333331</v>
      </c>
      <c r="D227" s="45" t="s">
        <v>50</v>
      </c>
      <c r="E227">
        <v>1</v>
      </c>
      <c r="F227" s="45" t="s">
        <v>37</v>
      </c>
      <c r="G227" s="45" t="s">
        <v>10</v>
      </c>
      <c r="H227" s="45" t="s">
        <v>795</v>
      </c>
    </row>
    <row r="228" spans="1:8">
      <c r="A228">
        <v>227</v>
      </c>
      <c r="B228" s="45" t="s">
        <v>240</v>
      </c>
      <c r="C228" s="46">
        <v>45336.419444444444</v>
      </c>
      <c r="D228" s="45" t="s">
        <v>89</v>
      </c>
      <c r="E228">
        <v>1</v>
      </c>
      <c r="F228" s="45" t="s">
        <v>43</v>
      </c>
      <c r="G228" s="45" t="s">
        <v>14</v>
      </c>
      <c r="H228" s="45" t="s">
        <v>796</v>
      </c>
    </row>
    <row r="229" spans="1:8">
      <c r="A229">
        <v>228</v>
      </c>
      <c r="B229" s="45" t="s">
        <v>241</v>
      </c>
      <c r="C229" s="46">
        <v>45336.431250000001</v>
      </c>
      <c r="D229" s="45" t="s">
        <v>45</v>
      </c>
      <c r="E229">
        <v>1</v>
      </c>
      <c r="F229" s="45" t="s">
        <v>137</v>
      </c>
      <c r="G229" s="45" t="s">
        <v>10</v>
      </c>
      <c r="H229" s="45" t="s">
        <v>795</v>
      </c>
    </row>
    <row r="230" spans="1:8">
      <c r="A230">
        <v>229</v>
      </c>
      <c r="B230" s="45" t="s">
        <v>242</v>
      </c>
      <c r="C230" s="46">
        <v>45336.443055555559</v>
      </c>
      <c r="D230" s="45" t="s">
        <v>142</v>
      </c>
      <c r="E230">
        <v>1</v>
      </c>
      <c r="F230" s="45" t="s">
        <v>144</v>
      </c>
      <c r="G230" s="45" t="s">
        <v>14</v>
      </c>
      <c r="H230" s="45" t="s">
        <v>796</v>
      </c>
    </row>
    <row r="231" spans="1:8">
      <c r="A231">
        <v>230</v>
      </c>
      <c r="B231" s="45" t="s">
        <v>243</v>
      </c>
      <c r="C231" s="46">
        <v>45336.454861111109</v>
      </c>
      <c r="D231" s="45" t="s">
        <v>24</v>
      </c>
      <c r="E231">
        <v>1</v>
      </c>
      <c r="F231" s="45" t="s">
        <v>9</v>
      </c>
      <c r="G231" s="45" t="s">
        <v>10</v>
      </c>
      <c r="H231" s="45" t="s">
        <v>795</v>
      </c>
    </row>
    <row r="232" spans="1:8">
      <c r="A232">
        <v>231</v>
      </c>
      <c r="B232" s="45" t="s">
        <v>244</v>
      </c>
      <c r="C232" s="46">
        <v>45336.466666666667</v>
      </c>
      <c r="D232" s="45" t="s">
        <v>21</v>
      </c>
      <c r="E232">
        <v>1</v>
      </c>
      <c r="F232" s="45" t="s">
        <v>13</v>
      </c>
      <c r="G232" s="45" t="s">
        <v>14</v>
      </c>
      <c r="H232" s="45" t="s">
        <v>796</v>
      </c>
    </row>
    <row r="233" spans="1:8">
      <c r="A233">
        <v>232</v>
      </c>
      <c r="B233" s="45" t="s">
        <v>245</v>
      </c>
      <c r="C233" s="46">
        <v>45336.478472222225</v>
      </c>
      <c r="D233" s="45" t="s">
        <v>34</v>
      </c>
      <c r="E233">
        <v>1</v>
      </c>
      <c r="F233" s="45" t="s">
        <v>141</v>
      </c>
      <c r="G233" s="45" t="s">
        <v>10</v>
      </c>
      <c r="H233" s="45" t="s">
        <v>795</v>
      </c>
    </row>
    <row r="234" spans="1:8">
      <c r="A234">
        <v>233</v>
      </c>
      <c r="B234" s="45" t="s">
        <v>245</v>
      </c>
      <c r="C234" s="46">
        <v>45336.478472222225</v>
      </c>
      <c r="D234" s="45" t="s">
        <v>54</v>
      </c>
      <c r="E234">
        <v>1</v>
      </c>
      <c r="F234" s="45" t="s">
        <v>141</v>
      </c>
      <c r="G234" s="45" t="s">
        <v>789</v>
      </c>
      <c r="H234" s="45" t="s">
        <v>797</v>
      </c>
    </row>
    <row r="235" spans="1:8">
      <c r="A235">
        <v>234</v>
      </c>
      <c r="B235" s="45" t="s">
        <v>246</v>
      </c>
      <c r="C235" s="46">
        <v>45336.490277777775</v>
      </c>
      <c r="D235" s="45" t="s">
        <v>52</v>
      </c>
      <c r="E235">
        <v>1</v>
      </c>
      <c r="F235" s="45" t="s">
        <v>25</v>
      </c>
      <c r="G235" s="45" t="s">
        <v>14</v>
      </c>
      <c r="H235" s="45" t="s">
        <v>796</v>
      </c>
    </row>
    <row r="236" spans="1:8">
      <c r="A236">
        <v>235</v>
      </c>
      <c r="B236" s="45" t="s">
        <v>247</v>
      </c>
      <c r="C236" s="46">
        <v>45336.502083333333</v>
      </c>
      <c r="D236" s="45" t="s">
        <v>42</v>
      </c>
      <c r="E236">
        <v>1</v>
      </c>
      <c r="F236" s="45" t="s">
        <v>16</v>
      </c>
      <c r="G236" s="45" t="s">
        <v>10</v>
      </c>
      <c r="H236" s="45" t="s">
        <v>795</v>
      </c>
    </row>
    <row r="237" spans="1:8">
      <c r="A237">
        <v>236</v>
      </c>
      <c r="B237" s="45" t="s">
        <v>248</v>
      </c>
      <c r="C237" s="46">
        <v>45336.506944444445</v>
      </c>
      <c r="D237" s="45" t="s">
        <v>26</v>
      </c>
      <c r="E237">
        <v>1</v>
      </c>
      <c r="F237" s="45" t="s">
        <v>19</v>
      </c>
      <c r="G237" s="45" t="s">
        <v>14</v>
      </c>
      <c r="H237" s="45" t="s">
        <v>796</v>
      </c>
    </row>
    <row r="238" spans="1:8">
      <c r="A238">
        <v>237</v>
      </c>
      <c r="B238" s="45" t="s">
        <v>249</v>
      </c>
      <c r="C238" s="46">
        <v>45336.511805555558</v>
      </c>
      <c r="D238" s="45" t="s">
        <v>48</v>
      </c>
      <c r="E238">
        <v>1</v>
      </c>
      <c r="F238" s="45" t="s">
        <v>22</v>
      </c>
      <c r="G238" s="45" t="s">
        <v>10</v>
      </c>
      <c r="H238" s="45" t="s">
        <v>795</v>
      </c>
    </row>
    <row r="239" spans="1:8">
      <c r="A239">
        <v>238</v>
      </c>
      <c r="B239" s="45" t="s">
        <v>250</v>
      </c>
      <c r="C239" s="46">
        <v>45336.51666666667</v>
      </c>
      <c r="D239" s="45" t="s">
        <v>153</v>
      </c>
      <c r="E239">
        <v>1</v>
      </c>
      <c r="F239" s="45" t="s">
        <v>29</v>
      </c>
      <c r="G239" s="45" t="s">
        <v>14</v>
      </c>
      <c r="H239" s="45" t="s">
        <v>796</v>
      </c>
    </row>
    <row r="240" spans="1:8">
      <c r="A240">
        <v>239</v>
      </c>
      <c r="B240" s="45" t="s">
        <v>251</v>
      </c>
      <c r="C240" s="46">
        <v>45336.521527777775</v>
      </c>
      <c r="D240" s="45" t="s">
        <v>28</v>
      </c>
      <c r="E240">
        <v>1</v>
      </c>
      <c r="F240" s="45" t="s">
        <v>33</v>
      </c>
      <c r="G240" s="45" t="s">
        <v>10</v>
      </c>
      <c r="H240" s="45" t="s">
        <v>795</v>
      </c>
    </row>
    <row r="241" spans="1:8">
      <c r="A241">
        <v>240</v>
      </c>
      <c r="B241" s="45" t="s">
        <v>251</v>
      </c>
      <c r="C241" s="46">
        <v>45336.521527777775</v>
      </c>
      <c r="D241" s="45" t="s">
        <v>38</v>
      </c>
      <c r="E241">
        <v>1</v>
      </c>
      <c r="F241" s="45" t="s">
        <v>33</v>
      </c>
      <c r="G241" s="45" t="s">
        <v>789</v>
      </c>
      <c r="H241" s="45" t="s">
        <v>797</v>
      </c>
    </row>
    <row r="242" spans="1:8">
      <c r="A242">
        <v>241</v>
      </c>
      <c r="B242" s="45" t="s">
        <v>252</v>
      </c>
      <c r="C242" s="46">
        <v>45336.526388888888</v>
      </c>
      <c r="D242" s="45" t="s">
        <v>12</v>
      </c>
      <c r="E242">
        <v>1</v>
      </c>
      <c r="F242" s="45" t="s">
        <v>37</v>
      </c>
      <c r="G242" s="45" t="s">
        <v>14</v>
      </c>
      <c r="H242" s="45" t="s">
        <v>796</v>
      </c>
    </row>
    <row r="243" spans="1:8">
      <c r="A243">
        <v>242</v>
      </c>
      <c r="B243" s="45" t="s">
        <v>253</v>
      </c>
      <c r="C243" s="46">
        <v>45336.53125</v>
      </c>
      <c r="D243" s="45" t="s">
        <v>30</v>
      </c>
      <c r="E243">
        <v>1</v>
      </c>
      <c r="F243" s="45" t="s">
        <v>40</v>
      </c>
      <c r="G243" s="45" t="s">
        <v>10</v>
      </c>
      <c r="H243" s="45" t="s">
        <v>795</v>
      </c>
    </row>
    <row r="244" spans="1:8">
      <c r="A244">
        <v>243</v>
      </c>
      <c r="B244" s="45" t="s">
        <v>254</v>
      </c>
      <c r="C244" s="46">
        <v>45336.536111111112</v>
      </c>
      <c r="D244" s="45" t="s">
        <v>32</v>
      </c>
      <c r="E244">
        <v>1</v>
      </c>
      <c r="F244" s="45" t="s">
        <v>43</v>
      </c>
      <c r="G244" s="45" t="s">
        <v>14</v>
      </c>
      <c r="H244" s="45" t="s">
        <v>796</v>
      </c>
    </row>
    <row r="245" spans="1:8">
      <c r="A245">
        <v>244</v>
      </c>
      <c r="B245" s="45" t="s">
        <v>255</v>
      </c>
      <c r="C245" s="46">
        <v>45336.541666666664</v>
      </c>
      <c r="D245" s="45" t="s">
        <v>54</v>
      </c>
      <c r="E245">
        <v>1</v>
      </c>
      <c r="F245" s="45" t="s">
        <v>137</v>
      </c>
      <c r="G245" s="45" t="s">
        <v>10</v>
      </c>
      <c r="H245" s="45" t="s">
        <v>795</v>
      </c>
    </row>
    <row r="246" spans="1:8">
      <c r="A246">
        <v>245</v>
      </c>
      <c r="B246" s="45" t="s">
        <v>256</v>
      </c>
      <c r="C246" s="46">
        <v>45336.547222222223</v>
      </c>
      <c r="D246" s="45" t="s">
        <v>67</v>
      </c>
      <c r="E246">
        <v>1</v>
      </c>
      <c r="F246" s="45" t="s">
        <v>144</v>
      </c>
      <c r="G246" s="45" t="s">
        <v>14</v>
      </c>
      <c r="H246" s="45" t="s">
        <v>796</v>
      </c>
    </row>
    <row r="247" spans="1:8">
      <c r="A247">
        <v>246</v>
      </c>
      <c r="B247" s="45" t="s">
        <v>257</v>
      </c>
      <c r="C247" s="46">
        <v>45336.552083333336</v>
      </c>
      <c r="D247" s="45" t="s">
        <v>123</v>
      </c>
      <c r="E247">
        <v>1</v>
      </c>
      <c r="F247" s="45" t="s">
        <v>9</v>
      </c>
      <c r="G247" s="45" t="s">
        <v>10</v>
      </c>
      <c r="H247" s="45" t="s">
        <v>795</v>
      </c>
    </row>
    <row r="248" spans="1:8">
      <c r="A248">
        <v>247</v>
      </c>
      <c r="B248" s="45" t="s">
        <v>258</v>
      </c>
      <c r="C248" s="46">
        <v>45336.556944444441</v>
      </c>
      <c r="D248" s="45" t="s">
        <v>21</v>
      </c>
      <c r="E248">
        <v>1</v>
      </c>
      <c r="F248" s="45" t="s">
        <v>13</v>
      </c>
      <c r="G248" s="45" t="s">
        <v>14</v>
      </c>
      <c r="H248" s="45" t="s">
        <v>796</v>
      </c>
    </row>
    <row r="249" spans="1:8">
      <c r="A249">
        <v>248</v>
      </c>
      <c r="B249" s="45" t="s">
        <v>258</v>
      </c>
      <c r="C249" s="46">
        <v>45336.556944444441</v>
      </c>
      <c r="D249" s="45" t="s">
        <v>8</v>
      </c>
      <c r="E249">
        <v>1</v>
      </c>
      <c r="F249" s="45" t="s">
        <v>13</v>
      </c>
      <c r="G249" s="45" t="s">
        <v>789</v>
      </c>
      <c r="H249" s="45" t="s">
        <v>797</v>
      </c>
    </row>
    <row r="250" spans="1:8">
      <c r="A250">
        <v>249</v>
      </c>
      <c r="B250" s="45" t="s">
        <v>259</v>
      </c>
      <c r="C250" s="46">
        <v>45336.561805555553</v>
      </c>
      <c r="D250" s="45" t="s">
        <v>24</v>
      </c>
      <c r="E250">
        <v>1</v>
      </c>
      <c r="F250" s="45" t="s">
        <v>141</v>
      </c>
      <c r="G250" s="45" t="s">
        <v>10</v>
      </c>
      <c r="H250" s="45" t="s">
        <v>795</v>
      </c>
    </row>
    <row r="251" spans="1:8">
      <c r="A251">
        <v>250</v>
      </c>
      <c r="B251" s="45" t="s">
        <v>260</v>
      </c>
      <c r="C251" s="46">
        <v>45336.566666666666</v>
      </c>
      <c r="D251" s="45" t="s">
        <v>18</v>
      </c>
      <c r="E251">
        <v>1</v>
      </c>
      <c r="F251" s="45" t="s">
        <v>25</v>
      </c>
      <c r="G251" s="45" t="s">
        <v>14</v>
      </c>
      <c r="H251" s="45" t="s">
        <v>796</v>
      </c>
    </row>
    <row r="252" spans="1:8">
      <c r="A252">
        <v>251</v>
      </c>
      <c r="B252" s="45" t="s">
        <v>261</v>
      </c>
      <c r="C252" s="46">
        <v>45336.571527777778</v>
      </c>
      <c r="D252" s="45" t="s">
        <v>110</v>
      </c>
      <c r="E252">
        <v>1</v>
      </c>
      <c r="F252" s="45" t="s">
        <v>16</v>
      </c>
      <c r="G252" s="45" t="s">
        <v>10</v>
      </c>
      <c r="H252" s="45" t="s">
        <v>795</v>
      </c>
    </row>
    <row r="253" spans="1:8">
      <c r="A253">
        <v>252</v>
      </c>
      <c r="B253" s="45" t="s">
        <v>262</v>
      </c>
      <c r="C253" s="46">
        <v>45336.576388888891</v>
      </c>
      <c r="D253" s="45" t="s">
        <v>160</v>
      </c>
      <c r="E253">
        <v>1</v>
      </c>
      <c r="F253" s="45" t="s">
        <v>19</v>
      </c>
      <c r="G253" s="45" t="s">
        <v>14</v>
      </c>
      <c r="H253" s="45" t="s">
        <v>796</v>
      </c>
    </row>
    <row r="254" spans="1:8">
      <c r="A254">
        <v>253</v>
      </c>
      <c r="B254" s="45" t="s">
        <v>263</v>
      </c>
      <c r="C254" s="46">
        <v>45336.581250000003</v>
      </c>
      <c r="D254" s="45" t="s">
        <v>56</v>
      </c>
      <c r="E254">
        <v>1</v>
      </c>
      <c r="F254" s="45" t="s">
        <v>22</v>
      </c>
      <c r="G254" s="45" t="s">
        <v>10</v>
      </c>
      <c r="H254" s="45" t="s">
        <v>795</v>
      </c>
    </row>
    <row r="255" spans="1:8">
      <c r="A255">
        <v>254</v>
      </c>
      <c r="B255" s="45" t="s">
        <v>264</v>
      </c>
      <c r="C255" s="46">
        <v>45336.586805555555</v>
      </c>
      <c r="D255" s="45" t="s">
        <v>50</v>
      </c>
      <c r="E255">
        <v>1</v>
      </c>
      <c r="F255" s="45" t="s">
        <v>29</v>
      </c>
      <c r="G255" s="45" t="s">
        <v>14</v>
      </c>
      <c r="H255" s="45" t="s">
        <v>796</v>
      </c>
    </row>
    <row r="256" spans="1:8">
      <c r="A256">
        <v>255</v>
      </c>
      <c r="B256" s="45" t="s">
        <v>264</v>
      </c>
      <c r="C256" s="46">
        <v>45336.586805555555</v>
      </c>
      <c r="D256" s="45" t="s">
        <v>59</v>
      </c>
      <c r="E256">
        <v>1</v>
      </c>
      <c r="F256" s="45" t="s">
        <v>29</v>
      </c>
      <c r="G256" s="45" t="s">
        <v>789</v>
      </c>
      <c r="H256" s="45" t="s">
        <v>797</v>
      </c>
    </row>
    <row r="257" spans="1:8">
      <c r="A257">
        <v>256</v>
      </c>
      <c r="B257" s="45" t="s">
        <v>265</v>
      </c>
      <c r="C257" s="46">
        <v>45336.591666666667</v>
      </c>
      <c r="D257" s="45" t="s">
        <v>34</v>
      </c>
      <c r="E257">
        <v>1</v>
      </c>
      <c r="F257" s="45" t="s">
        <v>33</v>
      </c>
      <c r="G257" s="45" t="s">
        <v>10</v>
      </c>
      <c r="H257" s="45" t="s">
        <v>795</v>
      </c>
    </row>
    <row r="258" spans="1:8">
      <c r="A258">
        <v>257</v>
      </c>
      <c r="B258" s="45" t="s">
        <v>266</v>
      </c>
      <c r="C258" s="46">
        <v>45336.59652777778</v>
      </c>
      <c r="D258" s="45" t="s">
        <v>166</v>
      </c>
      <c r="E258">
        <v>1</v>
      </c>
      <c r="F258" s="45" t="s">
        <v>37</v>
      </c>
      <c r="G258" s="45" t="s">
        <v>14</v>
      </c>
      <c r="H258" s="45" t="s">
        <v>796</v>
      </c>
    </row>
    <row r="259" spans="1:8">
      <c r="A259">
        <v>258</v>
      </c>
      <c r="B259" s="45" t="s">
        <v>267</v>
      </c>
      <c r="C259" s="46">
        <v>45336.601388888892</v>
      </c>
      <c r="D259" s="45" t="s">
        <v>45</v>
      </c>
      <c r="E259">
        <v>1</v>
      </c>
      <c r="F259" s="45" t="s">
        <v>40</v>
      </c>
      <c r="G259" s="45" t="s">
        <v>10</v>
      </c>
      <c r="H259" s="45" t="s">
        <v>795</v>
      </c>
    </row>
    <row r="260" spans="1:8">
      <c r="A260">
        <v>259</v>
      </c>
      <c r="B260" s="45" t="s">
        <v>268</v>
      </c>
      <c r="C260" s="46">
        <v>45336.606249999997</v>
      </c>
      <c r="D260" s="45" t="s">
        <v>52</v>
      </c>
      <c r="E260">
        <v>1</v>
      </c>
      <c r="F260" s="45" t="s">
        <v>43</v>
      </c>
      <c r="G260" s="45" t="s">
        <v>14</v>
      </c>
      <c r="H260" s="45" t="s">
        <v>796</v>
      </c>
    </row>
    <row r="261" spans="1:8">
      <c r="A261">
        <v>260</v>
      </c>
      <c r="B261" s="45" t="s">
        <v>269</v>
      </c>
      <c r="C261" s="46">
        <v>45336.611111111109</v>
      </c>
      <c r="D261" s="45" t="s">
        <v>142</v>
      </c>
      <c r="E261">
        <v>1</v>
      </c>
      <c r="F261" s="45" t="s">
        <v>137</v>
      </c>
      <c r="G261" s="45" t="s">
        <v>10</v>
      </c>
      <c r="H261" s="45" t="s">
        <v>795</v>
      </c>
    </row>
    <row r="262" spans="1:8">
      <c r="A262">
        <v>261</v>
      </c>
      <c r="B262" s="45" t="s">
        <v>270</v>
      </c>
      <c r="C262" s="46">
        <v>45336.615972222222</v>
      </c>
      <c r="D262" s="45" t="s">
        <v>89</v>
      </c>
      <c r="E262">
        <v>1</v>
      </c>
      <c r="F262" s="45" t="s">
        <v>144</v>
      </c>
      <c r="G262" s="45" t="s">
        <v>14</v>
      </c>
      <c r="H262" s="45" t="s">
        <v>796</v>
      </c>
    </row>
    <row r="263" spans="1:8">
      <c r="A263">
        <v>262</v>
      </c>
      <c r="B263" s="45" t="s">
        <v>271</v>
      </c>
      <c r="C263" s="46">
        <v>45336.62777777778</v>
      </c>
      <c r="D263" s="45" t="s">
        <v>59</v>
      </c>
      <c r="E263">
        <v>1</v>
      </c>
      <c r="F263" s="45" t="s">
        <v>9</v>
      </c>
      <c r="G263" s="45" t="s">
        <v>10</v>
      </c>
      <c r="H263" s="45" t="s">
        <v>795</v>
      </c>
    </row>
    <row r="264" spans="1:8">
      <c r="A264">
        <v>263</v>
      </c>
      <c r="B264" s="45" t="s">
        <v>272</v>
      </c>
      <c r="C264" s="46">
        <v>45336.640277777777</v>
      </c>
      <c r="D264" s="45" t="s">
        <v>21</v>
      </c>
      <c r="E264">
        <v>1</v>
      </c>
      <c r="F264" s="45" t="s">
        <v>13</v>
      </c>
      <c r="G264" s="45" t="s">
        <v>14</v>
      </c>
      <c r="H264" s="45" t="s">
        <v>796</v>
      </c>
    </row>
    <row r="265" spans="1:8">
      <c r="A265">
        <v>264</v>
      </c>
      <c r="B265" s="45" t="s">
        <v>273</v>
      </c>
      <c r="C265" s="46">
        <v>45336.65347222222</v>
      </c>
      <c r="D265" s="45" t="s">
        <v>34</v>
      </c>
      <c r="E265">
        <v>1</v>
      </c>
      <c r="F265" s="45" t="s">
        <v>141</v>
      </c>
      <c r="G265" s="45" t="s">
        <v>10</v>
      </c>
      <c r="H265" s="45" t="s">
        <v>795</v>
      </c>
    </row>
    <row r="266" spans="1:8">
      <c r="A266">
        <v>265</v>
      </c>
      <c r="B266" s="45" t="s">
        <v>274</v>
      </c>
      <c r="C266" s="46">
        <v>45336.665972222225</v>
      </c>
      <c r="D266" s="45" t="s">
        <v>38</v>
      </c>
      <c r="E266">
        <v>1</v>
      </c>
      <c r="F266" s="45" t="s">
        <v>25</v>
      </c>
      <c r="G266" s="45" t="s">
        <v>14</v>
      </c>
      <c r="H266" s="45" t="s">
        <v>796</v>
      </c>
    </row>
    <row r="267" spans="1:8">
      <c r="A267">
        <v>266</v>
      </c>
      <c r="B267" s="45" t="s">
        <v>275</v>
      </c>
      <c r="C267" s="46">
        <v>45336.678472222222</v>
      </c>
      <c r="D267" s="45" t="s">
        <v>28</v>
      </c>
      <c r="E267">
        <v>1</v>
      </c>
      <c r="F267" s="45" t="s">
        <v>16</v>
      </c>
      <c r="G267" s="45" t="s">
        <v>10</v>
      </c>
      <c r="H267" s="45" t="s">
        <v>795</v>
      </c>
    </row>
    <row r="268" spans="1:8">
      <c r="A268">
        <v>267</v>
      </c>
      <c r="B268" s="45" t="s">
        <v>276</v>
      </c>
      <c r="C268" s="46">
        <v>45336.690972222219</v>
      </c>
      <c r="D268" s="45" t="s">
        <v>67</v>
      </c>
      <c r="E268">
        <v>1</v>
      </c>
      <c r="F268" s="45" t="s">
        <v>19</v>
      </c>
      <c r="G268" s="45" t="s">
        <v>14</v>
      </c>
      <c r="H268" s="45" t="s">
        <v>796</v>
      </c>
    </row>
    <row r="269" spans="1:8">
      <c r="A269">
        <v>268</v>
      </c>
      <c r="B269" s="45" t="s">
        <v>277</v>
      </c>
      <c r="C269" s="46">
        <v>45336.703472222223</v>
      </c>
      <c r="D269" s="45" t="s">
        <v>48</v>
      </c>
      <c r="E269">
        <v>1</v>
      </c>
      <c r="F269" s="45" t="s">
        <v>22</v>
      </c>
      <c r="G269" s="45" t="s">
        <v>10</v>
      </c>
      <c r="H269" s="45" t="s">
        <v>795</v>
      </c>
    </row>
    <row r="270" spans="1:8">
      <c r="A270">
        <v>269</v>
      </c>
      <c r="B270" s="45" t="s">
        <v>278</v>
      </c>
      <c r="C270" s="46">
        <v>45336.708333333336</v>
      </c>
      <c r="D270" s="45" t="s">
        <v>160</v>
      </c>
      <c r="E270">
        <v>1</v>
      </c>
      <c r="F270" s="45" t="s">
        <v>29</v>
      </c>
      <c r="G270" s="45" t="s">
        <v>14</v>
      </c>
      <c r="H270" s="45" t="s">
        <v>796</v>
      </c>
    </row>
    <row r="271" spans="1:8">
      <c r="A271">
        <v>270</v>
      </c>
      <c r="B271" s="45" t="s">
        <v>279</v>
      </c>
      <c r="C271" s="46">
        <v>45337.293055555558</v>
      </c>
      <c r="D271" s="45" t="s">
        <v>42</v>
      </c>
      <c r="E271">
        <v>1</v>
      </c>
      <c r="F271" s="45" t="s">
        <v>139</v>
      </c>
      <c r="G271" s="45" t="s">
        <v>10</v>
      </c>
      <c r="H271" s="45" t="s">
        <v>795</v>
      </c>
    </row>
    <row r="272" spans="1:8">
      <c r="A272">
        <v>271</v>
      </c>
      <c r="B272" s="45" t="s">
        <v>280</v>
      </c>
      <c r="C272" s="46">
        <v>45337.29791666667</v>
      </c>
      <c r="D272" s="45" t="s">
        <v>67</v>
      </c>
      <c r="E272">
        <v>1</v>
      </c>
      <c r="F272" s="45" t="s">
        <v>281</v>
      </c>
      <c r="G272" s="45" t="s">
        <v>14</v>
      </c>
      <c r="H272" s="45" t="s">
        <v>796</v>
      </c>
    </row>
    <row r="273" spans="1:8">
      <c r="A273">
        <v>272</v>
      </c>
      <c r="B273" s="45" t="s">
        <v>280</v>
      </c>
      <c r="C273" s="46">
        <v>45337.29791666667</v>
      </c>
      <c r="D273" s="45" t="s">
        <v>50</v>
      </c>
      <c r="E273">
        <v>1</v>
      </c>
      <c r="F273" s="45" t="s">
        <v>281</v>
      </c>
      <c r="G273" s="45" t="s">
        <v>789</v>
      </c>
      <c r="H273" s="45" t="s">
        <v>797</v>
      </c>
    </row>
    <row r="274" spans="1:8">
      <c r="A274">
        <v>273</v>
      </c>
      <c r="B274" s="45" t="s">
        <v>282</v>
      </c>
      <c r="C274" s="46">
        <v>45337.302777777775</v>
      </c>
      <c r="D274" s="45" t="s">
        <v>32</v>
      </c>
      <c r="E274">
        <v>1</v>
      </c>
      <c r="F274" s="45" t="s">
        <v>283</v>
      </c>
      <c r="G274" s="45" t="s">
        <v>10</v>
      </c>
      <c r="H274" s="45" t="s">
        <v>795</v>
      </c>
    </row>
    <row r="275" spans="1:8">
      <c r="A275">
        <v>274</v>
      </c>
      <c r="B275" s="45" t="s">
        <v>284</v>
      </c>
      <c r="C275" s="46">
        <v>45337.307638888888</v>
      </c>
      <c r="D275" s="45" t="s">
        <v>142</v>
      </c>
      <c r="E275">
        <v>1</v>
      </c>
      <c r="F275" s="45" t="s">
        <v>285</v>
      </c>
      <c r="G275" s="45" t="s">
        <v>14</v>
      </c>
      <c r="H275" s="45" t="s">
        <v>796</v>
      </c>
    </row>
    <row r="276" spans="1:8">
      <c r="A276">
        <v>275</v>
      </c>
      <c r="B276" s="45" t="s">
        <v>286</v>
      </c>
      <c r="C276" s="46">
        <v>45337.3125</v>
      </c>
      <c r="D276" s="45" t="s">
        <v>38</v>
      </c>
      <c r="E276">
        <v>1</v>
      </c>
      <c r="F276" s="45" t="s">
        <v>287</v>
      </c>
      <c r="G276" s="45" t="s">
        <v>10</v>
      </c>
      <c r="H276" s="45" t="s">
        <v>795</v>
      </c>
    </row>
    <row r="277" spans="1:8">
      <c r="A277">
        <v>276</v>
      </c>
      <c r="B277" s="45" t="s">
        <v>286</v>
      </c>
      <c r="C277" s="46">
        <v>45337.3125</v>
      </c>
      <c r="D277" s="45" t="s">
        <v>12</v>
      </c>
      <c r="E277">
        <v>1</v>
      </c>
      <c r="F277" s="45" t="s">
        <v>287</v>
      </c>
      <c r="G277" s="45" t="s">
        <v>789</v>
      </c>
      <c r="H277" s="45" t="s">
        <v>797</v>
      </c>
    </row>
    <row r="278" spans="1:8">
      <c r="A278">
        <v>277</v>
      </c>
      <c r="B278" s="45" t="s">
        <v>288</v>
      </c>
      <c r="C278" s="46">
        <v>45337.317361111112</v>
      </c>
      <c r="D278" s="45" t="s">
        <v>24</v>
      </c>
      <c r="E278">
        <v>1</v>
      </c>
      <c r="F278" s="45" t="s">
        <v>289</v>
      </c>
      <c r="G278" s="45" t="s">
        <v>14</v>
      </c>
      <c r="H278" s="45" t="s">
        <v>796</v>
      </c>
    </row>
    <row r="279" spans="1:8">
      <c r="A279">
        <v>278</v>
      </c>
      <c r="B279" s="45" t="s">
        <v>290</v>
      </c>
      <c r="C279" s="46">
        <v>45337.322222222225</v>
      </c>
      <c r="D279" s="45" t="s">
        <v>18</v>
      </c>
      <c r="E279">
        <v>1</v>
      </c>
      <c r="F279" s="45" t="s">
        <v>291</v>
      </c>
      <c r="G279" s="45" t="s">
        <v>10</v>
      </c>
      <c r="H279" s="45" t="s">
        <v>795</v>
      </c>
    </row>
    <row r="280" spans="1:8">
      <c r="A280">
        <v>279</v>
      </c>
      <c r="B280" s="45" t="s">
        <v>292</v>
      </c>
      <c r="C280" s="46">
        <v>45337.327777777777</v>
      </c>
      <c r="D280" s="45" t="s">
        <v>21</v>
      </c>
      <c r="E280">
        <v>1</v>
      </c>
      <c r="F280" s="45" t="s">
        <v>293</v>
      </c>
      <c r="G280" s="45" t="s">
        <v>14</v>
      </c>
      <c r="H280" s="45" t="s">
        <v>796</v>
      </c>
    </row>
    <row r="281" spans="1:8">
      <c r="A281">
        <v>280</v>
      </c>
      <c r="B281" s="45" t="s">
        <v>294</v>
      </c>
      <c r="C281" s="46">
        <v>45337.332638888889</v>
      </c>
      <c r="D281" s="45" t="s">
        <v>28</v>
      </c>
      <c r="E281">
        <v>1</v>
      </c>
      <c r="F281" s="45" t="s">
        <v>295</v>
      </c>
      <c r="G281" s="45" t="s">
        <v>10</v>
      </c>
      <c r="H281" s="45" t="s">
        <v>795</v>
      </c>
    </row>
    <row r="282" spans="1:8">
      <c r="A282">
        <v>281</v>
      </c>
      <c r="B282" s="45" t="s">
        <v>294</v>
      </c>
      <c r="C282" s="46">
        <v>45337.332638888889</v>
      </c>
      <c r="D282" s="45" t="s">
        <v>8</v>
      </c>
      <c r="E282">
        <v>1</v>
      </c>
      <c r="F282" s="45" t="s">
        <v>295</v>
      </c>
      <c r="G282" s="45" t="s">
        <v>789</v>
      </c>
      <c r="H282" s="45" t="s">
        <v>797</v>
      </c>
    </row>
    <row r="283" spans="1:8">
      <c r="A283">
        <v>282</v>
      </c>
      <c r="B283" s="45" t="s">
        <v>296</v>
      </c>
      <c r="C283" s="46">
        <v>45337.337500000001</v>
      </c>
      <c r="D283" s="45" t="s">
        <v>123</v>
      </c>
      <c r="E283">
        <v>1</v>
      </c>
      <c r="F283" s="45" t="s">
        <v>297</v>
      </c>
      <c r="G283" s="45" t="s">
        <v>14</v>
      </c>
      <c r="H283" s="45" t="s">
        <v>796</v>
      </c>
    </row>
    <row r="284" spans="1:8">
      <c r="A284">
        <v>283</v>
      </c>
      <c r="B284" s="45" t="s">
        <v>298</v>
      </c>
      <c r="C284" s="46">
        <v>45337.342361111114</v>
      </c>
      <c r="D284" s="45" t="s">
        <v>110</v>
      </c>
      <c r="E284">
        <v>1</v>
      </c>
      <c r="F284" s="45" t="s">
        <v>299</v>
      </c>
      <c r="G284" s="45" t="s">
        <v>10</v>
      </c>
      <c r="H284" s="45" t="s">
        <v>795</v>
      </c>
    </row>
    <row r="285" spans="1:8">
      <c r="A285">
        <v>284</v>
      </c>
      <c r="B285" s="45" t="s">
        <v>300</v>
      </c>
      <c r="C285" s="46">
        <v>45337.347222222219</v>
      </c>
      <c r="D285" s="45" t="s">
        <v>26</v>
      </c>
      <c r="E285">
        <v>1</v>
      </c>
      <c r="F285" s="45" t="s">
        <v>301</v>
      </c>
      <c r="G285" s="45" t="s">
        <v>14</v>
      </c>
      <c r="H285" s="45" t="s">
        <v>796</v>
      </c>
    </row>
    <row r="286" spans="1:8">
      <c r="A286">
        <v>285</v>
      </c>
      <c r="B286" s="45" t="s">
        <v>300</v>
      </c>
      <c r="C286" s="46">
        <v>45337.347222222219</v>
      </c>
      <c r="D286" s="45" t="s">
        <v>54</v>
      </c>
      <c r="E286">
        <v>1</v>
      </c>
      <c r="F286" s="45" t="s">
        <v>301</v>
      </c>
      <c r="G286" s="45" t="s">
        <v>789</v>
      </c>
      <c r="H286" s="45" t="s">
        <v>797</v>
      </c>
    </row>
    <row r="287" spans="1:8">
      <c r="A287">
        <v>286</v>
      </c>
      <c r="B287" s="45" t="s">
        <v>302</v>
      </c>
      <c r="C287" s="46">
        <v>45337.352083333331</v>
      </c>
      <c r="D287" s="45" t="s">
        <v>166</v>
      </c>
      <c r="E287">
        <v>1</v>
      </c>
      <c r="F287" s="45" t="s">
        <v>303</v>
      </c>
      <c r="G287" s="45" t="s">
        <v>10</v>
      </c>
      <c r="H287" s="45" t="s">
        <v>795</v>
      </c>
    </row>
    <row r="288" spans="1:8">
      <c r="A288">
        <v>287</v>
      </c>
      <c r="B288" s="45" t="s">
        <v>304</v>
      </c>
      <c r="C288" s="46">
        <v>45337.356944444444</v>
      </c>
      <c r="D288" s="45" t="s">
        <v>45</v>
      </c>
      <c r="E288">
        <v>1</v>
      </c>
      <c r="F288" s="45" t="s">
        <v>305</v>
      </c>
      <c r="G288" s="45" t="s">
        <v>14</v>
      </c>
      <c r="H288" s="45" t="s">
        <v>796</v>
      </c>
    </row>
    <row r="289" spans="1:8">
      <c r="A289">
        <v>288</v>
      </c>
      <c r="B289" s="45" t="s">
        <v>306</v>
      </c>
      <c r="C289" s="46">
        <v>45337.361805555556</v>
      </c>
      <c r="D289" s="45" t="s">
        <v>34</v>
      </c>
      <c r="E289">
        <v>1</v>
      </c>
      <c r="F289" s="45" t="s">
        <v>307</v>
      </c>
      <c r="G289" s="45" t="s">
        <v>10</v>
      </c>
      <c r="H289" s="45" t="s">
        <v>795</v>
      </c>
    </row>
    <row r="290" spans="1:8">
      <c r="A290">
        <v>289</v>
      </c>
      <c r="B290" s="45" t="s">
        <v>308</v>
      </c>
      <c r="C290" s="46">
        <v>45337.366666666669</v>
      </c>
      <c r="D290" s="45" t="s">
        <v>56</v>
      </c>
      <c r="E290">
        <v>1</v>
      </c>
      <c r="F290" s="45" t="s">
        <v>309</v>
      </c>
      <c r="G290" s="45" t="s">
        <v>14</v>
      </c>
      <c r="H290" s="45" t="s">
        <v>796</v>
      </c>
    </row>
    <row r="291" spans="1:8">
      <c r="A291">
        <v>290</v>
      </c>
      <c r="B291" s="45" t="s">
        <v>308</v>
      </c>
      <c r="C291" s="46">
        <v>45337.366666666669</v>
      </c>
      <c r="D291" s="45" t="s">
        <v>153</v>
      </c>
      <c r="E291">
        <v>1</v>
      </c>
      <c r="F291" s="45" t="s">
        <v>309</v>
      </c>
      <c r="G291" s="45" t="s">
        <v>789</v>
      </c>
      <c r="H291" s="45" t="s">
        <v>797</v>
      </c>
    </row>
    <row r="292" spans="1:8">
      <c r="A292">
        <v>291</v>
      </c>
      <c r="B292" s="45" t="s">
        <v>310</v>
      </c>
      <c r="C292" s="46">
        <v>45337.37222222222</v>
      </c>
      <c r="D292" s="45" t="s">
        <v>48</v>
      </c>
      <c r="E292">
        <v>1</v>
      </c>
      <c r="F292" s="45" t="s">
        <v>37</v>
      </c>
      <c r="G292" s="45" t="s">
        <v>10</v>
      </c>
      <c r="H292" s="45" t="s">
        <v>795</v>
      </c>
    </row>
    <row r="293" spans="1:8">
      <c r="A293">
        <v>292</v>
      </c>
      <c r="B293" s="45" t="s">
        <v>311</v>
      </c>
      <c r="C293" s="46">
        <v>45337.377083333333</v>
      </c>
      <c r="D293" s="45" t="s">
        <v>59</v>
      </c>
      <c r="E293">
        <v>1</v>
      </c>
      <c r="F293" s="45" t="s">
        <v>312</v>
      </c>
      <c r="G293" s="45" t="s">
        <v>14</v>
      </c>
      <c r="H293" s="45" t="s">
        <v>796</v>
      </c>
    </row>
    <row r="294" spans="1:8">
      <c r="A294">
        <v>293</v>
      </c>
      <c r="B294" s="45" t="s">
        <v>313</v>
      </c>
      <c r="C294" s="46">
        <v>45337.381944444445</v>
      </c>
      <c r="D294" s="45" t="s">
        <v>30</v>
      </c>
      <c r="E294">
        <v>1</v>
      </c>
      <c r="F294" s="45" t="s">
        <v>314</v>
      </c>
      <c r="G294" s="45" t="s">
        <v>10</v>
      </c>
      <c r="H294" s="45" t="s">
        <v>795</v>
      </c>
    </row>
    <row r="295" spans="1:8">
      <c r="A295">
        <v>294</v>
      </c>
      <c r="B295" s="45" t="s">
        <v>315</v>
      </c>
      <c r="C295" s="46">
        <v>45337.386805555558</v>
      </c>
      <c r="D295" s="45" t="s">
        <v>52</v>
      </c>
      <c r="E295">
        <v>1</v>
      </c>
      <c r="F295" s="45" t="s">
        <v>316</v>
      </c>
      <c r="G295" s="45" t="s">
        <v>14</v>
      </c>
      <c r="H295" s="45" t="s">
        <v>796</v>
      </c>
    </row>
    <row r="296" spans="1:8">
      <c r="A296">
        <v>295</v>
      </c>
      <c r="B296" s="45" t="s">
        <v>317</v>
      </c>
      <c r="C296" s="46">
        <v>45337.39166666667</v>
      </c>
      <c r="D296" s="45" t="s">
        <v>89</v>
      </c>
      <c r="E296">
        <v>1</v>
      </c>
      <c r="F296" s="45" t="s">
        <v>318</v>
      </c>
      <c r="G296" s="45" t="s">
        <v>10</v>
      </c>
      <c r="H296" s="45" t="s">
        <v>795</v>
      </c>
    </row>
    <row r="297" spans="1:8">
      <c r="A297">
        <v>296</v>
      </c>
      <c r="B297" s="45" t="s">
        <v>317</v>
      </c>
      <c r="C297" s="46">
        <v>45337.39166666667</v>
      </c>
      <c r="D297" s="45" t="s">
        <v>160</v>
      </c>
      <c r="E297">
        <v>1</v>
      </c>
      <c r="F297" s="45" t="s">
        <v>318</v>
      </c>
      <c r="G297" s="45" t="s">
        <v>789</v>
      </c>
      <c r="H297" s="45" t="s">
        <v>797</v>
      </c>
    </row>
    <row r="298" spans="1:8">
      <c r="A298">
        <v>297</v>
      </c>
      <c r="B298" s="45" t="s">
        <v>319</v>
      </c>
      <c r="C298" s="46">
        <v>45337.396527777775</v>
      </c>
      <c r="D298" s="45" t="s">
        <v>36</v>
      </c>
      <c r="E298">
        <v>1</v>
      </c>
      <c r="F298" s="45" t="s">
        <v>320</v>
      </c>
      <c r="G298" s="45" t="s">
        <v>14</v>
      </c>
      <c r="H298" s="45" t="s">
        <v>796</v>
      </c>
    </row>
    <row r="299" spans="1:8">
      <c r="A299">
        <v>298</v>
      </c>
      <c r="B299" s="45" t="s">
        <v>321</v>
      </c>
      <c r="C299" s="46">
        <v>45337.401388888888</v>
      </c>
      <c r="D299" s="45" t="s">
        <v>8</v>
      </c>
      <c r="E299">
        <v>1</v>
      </c>
      <c r="F299" s="45" t="s">
        <v>322</v>
      </c>
      <c r="G299" s="45" t="s">
        <v>10</v>
      </c>
      <c r="H299" s="45" t="s">
        <v>795</v>
      </c>
    </row>
    <row r="300" spans="1:8">
      <c r="A300">
        <v>299</v>
      </c>
      <c r="B300" s="45" t="s">
        <v>323</v>
      </c>
      <c r="C300" s="46">
        <v>45337.408333333333</v>
      </c>
      <c r="D300" s="45" t="s">
        <v>52</v>
      </c>
      <c r="E300">
        <v>1</v>
      </c>
      <c r="F300" s="45" t="s">
        <v>324</v>
      </c>
      <c r="G300" s="45" t="s">
        <v>14</v>
      </c>
      <c r="H300" s="45" t="s">
        <v>796</v>
      </c>
    </row>
    <row r="301" spans="1:8">
      <c r="A301">
        <v>300</v>
      </c>
      <c r="B301" s="45" t="s">
        <v>325</v>
      </c>
      <c r="C301" s="46">
        <v>45337.419444444444</v>
      </c>
      <c r="D301" s="45" t="s">
        <v>50</v>
      </c>
      <c r="E301">
        <v>1</v>
      </c>
      <c r="F301" s="45" t="s">
        <v>281</v>
      </c>
      <c r="G301" s="45" t="s">
        <v>10</v>
      </c>
      <c r="H301" s="45" t="s">
        <v>795</v>
      </c>
    </row>
    <row r="302" spans="1:8">
      <c r="A302">
        <v>301</v>
      </c>
      <c r="B302" s="45" t="s">
        <v>326</v>
      </c>
      <c r="C302" s="46">
        <v>45337.430555555555</v>
      </c>
      <c r="D302" s="45" t="s">
        <v>56</v>
      </c>
      <c r="E302">
        <v>1</v>
      </c>
      <c r="F302" s="45" t="s">
        <v>49</v>
      </c>
      <c r="G302" s="45" t="s">
        <v>14</v>
      </c>
      <c r="H302" s="45" t="s">
        <v>796</v>
      </c>
    </row>
    <row r="303" spans="1:8">
      <c r="A303">
        <v>302</v>
      </c>
      <c r="B303" s="45" t="s">
        <v>327</v>
      </c>
      <c r="C303" s="46">
        <v>45337.441666666666</v>
      </c>
      <c r="D303" s="45" t="s">
        <v>153</v>
      </c>
      <c r="E303">
        <v>1</v>
      </c>
      <c r="F303" s="45" t="s">
        <v>328</v>
      </c>
      <c r="G303" s="45" t="s">
        <v>10</v>
      </c>
      <c r="H303" s="45" t="s">
        <v>795</v>
      </c>
    </row>
    <row r="304" spans="1:8">
      <c r="A304">
        <v>303</v>
      </c>
      <c r="B304" s="45" t="s">
        <v>329</v>
      </c>
      <c r="C304" s="46">
        <v>45337.452777777777</v>
      </c>
      <c r="D304" s="45" t="s">
        <v>48</v>
      </c>
      <c r="E304">
        <v>1</v>
      </c>
      <c r="F304" s="45" t="s">
        <v>330</v>
      </c>
      <c r="G304" s="45" t="s">
        <v>14</v>
      </c>
      <c r="H304" s="45" t="s">
        <v>796</v>
      </c>
    </row>
    <row r="305" spans="1:8">
      <c r="A305">
        <v>304</v>
      </c>
      <c r="B305" s="45" t="s">
        <v>331</v>
      </c>
      <c r="C305" s="46">
        <v>45337.463888888888</v>
      </c>
      <c r="D305" s="45" t="s">
        <v>34</v>
      </c>
      <c r="E305">
        <v>1</v>
      </c>
      <c r="F305" s="45" t="s">
        <v>332</v>
      </c>
      <c r="G305" s="45" t="s">
        <v>10</v>
      </c>
      <c r="H305" s="45" t="s">
        <v>795</v>
      </c>
    </row>
    <row r="306" spans="1:8">
      <c r="A306">
        <v>305</v>
      </c>
      <c r="B306" s="45" t="s">
        <v>331</v>
      </c>
      <c r="C306" s="46">
        <v>45337.463888888888</v>
      </c>
      <c r="D306" s="45" t="s">
        <v>54</v>
      </c>
      <c r="E306">
        <v>1</v>
      </c>
      <c r="F306" s="45" t="s">
        <v>332</v>
      </c>
      <c r="G306" s="45" t="s">
        <v>789</v>
      </c>
      <c r="H306" s="45" t="s">
        <v>797</v>
      </c>
    </row>
    <row r="307" spans="1:8">
      <c r="A307">
        <v>306</v>
      </c>
      <c r="B307" s="45" t="s">
        <v>333</v>
      </c>
      <c r="C307" s="46">
        <v>45337.474999999999</v>
      </c>
      <c r="D307" s="45" t="s">
        <v>32</v>
      </c>
      <c r="E307">
        <v>1</v>
      </c>
      <c r="F307" s="45" t="s">
        <v>334</v>
      </c>
      <c r="G307" s="45" t="s">
        <v>14</v>
      </c>
      <c r="H307" s="45" t="s">
        <v>796</v>
      </c>
    </row>
    <row r="308" spans="1:8">
      <c r="A308">
        <v>307</v>
      </c>
      <c r="B308" s="45" t="s">
        <v>335</v>
      </c>
      <c r="C308" s="46">
        <v>45337.486111111109</v>
      </c>
      <c r="D308" s="45" t="s">
        <v>26</v>
      </c>
      <c r="E308">
        <v>1</v>
      </c>
      <c r="F308" s="45" t="s">
        <v>336</v>
      </c>
      <c r="G308" s="45" t="s">
        <v>10</v>
      </c>
      <c r="H308" s="45" t="s">
        <v>795</v>
      </c>
    </row>
    <row r="309" spans="1:8">
      <c r="A309">
        <v>308</v>
      </c>
      <c r="B309" s="45" t="s">
        <v>337</v>
      </c>
      <c r="C309" s="46">
        <v>45337.49722222222</v>
      </c>
      <c r="D309" s="45" t="s">
        <v>24</v>
      </c>
      <c r="E309">
        <v>1</v>
      </c>
      <c r="F309" s="45" t="s">
        <v>295</v>
      </c>
      <c r="G309" s="45" t="s">
        <v>14</v>
      </c>
      <c r="H309" s="45" t="s">
        <v>796</v>
      </c>
    </row>
    <row r="310" spans="1:8">
      <c r="A310">
        <v>309</v>
      </c>
      <c r="B310" s="45" t="s">
        <v>338</v>
      </c>
      <c r="C310" s="46">
        <v>45337.504166666666</v>
      </c>
      <c r="D310" s="45" t="s">
        <v>45</v>
      </c>
      <c r="E310">
        <v>1</v>
      </c>
      <c r="F310" s="45" t="s">
        <v>339</v>
      </c>
      <c r="G310" s="45" t="s">
        <v>10</v>
      </c>
      <c r="H310" s="45" t="s">
        <v>795</v>
      </c>
    </row>
    <row r="311" spans="1:8">
      <c r="A311">
        <v>310</v>
      </c>
      <c r="B311" s="45" t="s">
        <v>340</v>
      </c>
      <c r="C311" s="46">
        <v>45337.508333333331</v>
      </c>
      <c r="D311" s="45" t="s">
        <v>18</v>
      </c>
      <c r="E311">
        <v>1</v>
      </c>
      <c r="F311" s="45" t="s">
        <v>341</v>
      </c>
      <c r="G311" s="45" t="s">
        <v>14</v>
      </c>
      <c r="H311" s="45" t="s">
        <v>796</v>
      </c>
    </row>
    <row r="312" spans="1:8">
      <c r="A312">
        <v>311</v>
      </c>
      <c r="B312" s="45" t="s">
        <v>340</v>
      </c>
      <c r="C312" s="46">
        <v>45337.508333333331</v>
      </c>
      <c r="D312" s="45" t="s">
        <v>36</v>
      </c>
      <c r="E312">
        <v>1</v>
      </c>
      <c r="F312" s="45" t="s">
        <v>341</v>
      </c>
      <c r="G312" s="45" t="s">
        <v>789</v>
      </c>
      <c r="H312" s="45" t="s">
        <v>797</v>
      </c>
    </row>
    <row r="313" spans="1:8">
      <c r="A313">
        <v>312</v>
      </c>
      <c r="B313" s="45" t="s">
        <v>342</v>
      </c>
      <c r="C313" s="46">
        <v>45337.512499999997</v>
      </c>
      <c r="D313" s="45" t="s">
        <v>59</v>
      </c>
      <c r="E313">
        <v>1</v>
      </c>
      <c r="F313" s="45" t="s">
        <v>343</v>
      </c>
      <c r="G313" s="45" t="s">
        <v>10</v>
      </c>
      <c r="H313" s="45" t="s">
        <v>795</v>
      </c>
    </row>
    <row r="314" spans="1:8">
      <c r="A314">
        <v>313</v>
      </c>
      <c r="B314" s="45" t="s">
        <v>344</v>
      </c>
      <c r="C314" s="46">
        <v>45337.51666666667</v>
      </c>
      <c r="D314" s="45" t="s">
        <v>89</v>
      </c>
      <c r="E314">
        <v>1</v>
      </c>
      <c r="F314" s="45" t="s">
        <v>345</v>
      </c>
      <c r="G314" s="45" t="s">
        <v>14</v>
      </c>
      <c r="H314" s="45" t="s">
        <v>796</v>
      </c>
    </row>
    <row r="315" spans="1:8">
      <c r="A315">
        <v>314</v>
      </c>
      <c r="B315" s="45" t="s">
        <v>346</v>
      </c>
      <c r="C315" s="46">
        <v>45337.520833333336</v>
      </c>
      <c r="D315" s="45" t="s">
        <v>123</v>
      </c>
      <c r="E315">
        <v>1</v>
      </c>
      <c r="F315" s="45" t="s">
        <v>347</v>
      </c>
      <c r="G315" s="45" t="s">
        <v>10</v>
      </c>
      <c r="H315" s="45" t="s">
        <v>795</v>
      </c>
    </row>
    <row r="316" spans="1:8">
      <c r="A316">
        <v>315</v>
      </c>
      <c r="B316" s="45" t="s">
        <v>348</v>
      </c>
      <c r="C316" s="46">
        <v>45337.525000000001</v>
      </c>
      <c r="D316" s="45" t="s">
        <v>160</v>
      </c>
      <c r="E316">
        <v>1</v>
      </c>
      <c r="F316" s="45" t="s">
        <v>349</v>
      </c>
      <c r="G316" s="45" t="s">
        <v>14</v>
      </c>
      <c r="H316" s="45" t="s">
        <v>796</v>
      </c>
    </row>
    <row r="317" spans="1:8">
      <c r="A317">
        <v>316</v>
      </c>
      <c r="B317" s="45" t="s">
        <v>350</v>
      </c>
      <c r="C317" s="46">
        <v>45337.529166666667</v>
      </c>
      <c r="D317" s="45" t="s">
        <v>28</v>
      </c>
      <c r="E317">
        <v>1</v>
      </c>
      <c r="F317" s="45" t="s">
        <v>351</v>
      </c>
      <c r="G317" s="45" t="s">
        <v>10</v>
      </c>
      <c r="H317" s="45" t="s">
        <v>795</v>
      </c>
    </row>
    <row r="318" spans="1:8">
      <c r="A318">
        <v>317</v>
      </c>
      <c r="B318" s="45" t="s">
        <v>352</v>
      </c>
      <c r="C318" s="46">
        <v>45337.533333333333</v>
      </c>
      <c r="D318" s="45" t="s">
        <v>110</v>
      </c>
      <c r="E318">
        <v>1</v>
      </c>
      <c r="F318" s="45" t="s">
        <v>37</v>
      </c>
      <c r="G318" s="45" t="s">
        <v>14</v>
      </c>
      <c r="H318" s="45" t="s">
        <v>796</v>
      </c>
    </row>
    <row r="319" spans="1:8">
      <c r="A319">
        <v>318</v>
      </c>
      <c r="B319" s="45" t="s">
        <v>353</v>
      </c>
      <c r="C319" s="46">
        <v>45337.537499999999</v>
      </c>
      <c r="D319" s="45" t="s">
        <v>30</v>
      </c>
      <c r="E319">
        <v>1</v>
      </c>
      <c r="F319" s="45" t="s">
        <v>29</v>
      </c>
      <c r="G319" s="45" t="s">
        <v>10</v>
      </c>
      <c r="H319" s="45" t="s">
        <v>795</v>
      </c>
    </row>
    <row r="320" spans="1:8">
      <c r="A320">
        <v>319</v>
      </c>
      <c r="B320" s="45" t="s">
        <v>353</v>
      </c>
      <c r="C320" s="46">
        <v>45337.537499999999</v>
      </c>
      <c r="D320" s="45" t="s">
        <v>8</v>
      </c>
      <c r="E320">
        <v>1</v>
      </c>
      <c r="F320" s="45" t="s">
        <v>29</v>
      </c>
      <c r="G320" s="45" t="s">
        <v>789</v>
      </c>
      <c r="H320" s="45" t="s">
        <v>797</v>
      </c>
    </row>
    <row r="321" spans="1:8">
      <c r="A321">
        <v>320</v>
      </c>
      <c r="B321" s="45" t="s">
        <v>354</v>
      </c>
      <c r="C321" s="46">
        <v>45337.541666666664</v>
      </c>
      <c r="D321" s="45" t="s">
        <v>21</v>
      </c>
      <c r="E321">
        <v>1</v>
      </c>
      <c r="F321" s="45" t="s">
        <v>137</v>
      </c>
      <c r="G321" s="45" t="s">
        <v>14</v>
      </c>
      <c r="H321" s="45" t="s">
        <v>796</v>
      </c>
    </row>
    <row r="322" spans="1:8">
      <c r="A322">
        <v>321</v>
      </c>
      <c r="B322" s="45" t="s">
        <v>355</v>
      </c>
      <c r="C322" s="46">
        <v>45337.54583333333</v>
      </c>
      <c r="D322" s="45" t="s">
        <v>38</v>
      </c>
      <c r="E322">
        <v>1</v>
      </c>
      <c r="F322" s="45" t="s">
        <v>316</v>
      </c>
      <c r="G322" s="45" t="s">
        <v>10</v>
      </c>
      <c r="H322" s="45" t="s">
        <v>795</v>
      </c>
    </row>
    <row r="323" spans="1:8">
      <c r="A323">
        <v>322</v>
      </c>
      <c r="B323" s="45" t="s">
        <v>356</v>
      </c>
      <c r="C323" s="46">
        <v>45337.55</v>
      </c>
      <c r="D323" s="45" t="s">
        <v>67</v>
      </c>
      <c r="E323">
        <v>1</v>
      </c>
      <c r="F323" s="45" t="s">
        <v>318</v>
      </c>
      <c r="G323" s="45" t="s">
        <v>14</v>
      </c>
      <c r="H323" s="45" t="s">
        <v>796</v>
      </c>
    </row>
    <row r="324" spans="1:8">
      <c r="A324">
        <v>323</v>
      </c>
      <c r="B324" s="45" t="s">
        <v>357</v>
      </c>
      <c r="C324" s="46">
        <v>45337.554166666669</v>
      </c>
      <c r="D324" s="45" t="s">
        <v>42</v>
      </c>
      <c r="E324">
        <v>1</v>
      </c>
      <c r="F324" s="45" t="s">
        <v>320</v>
      </c>
      <c r="G324" s="45" t="s">
        <v>10</v>
      </c>
      <c r="H324" s="45" t="s">
        <v>795</v>
      </c>
    </row>
    <row r="325" spans="1:8">
      <c r="A325">
        <v>324</v>
      </c>
      <c r="B325" s="45" t="s">
        <v>358</v>
      </c>
      <c r="C325" s="46">
        <v>45337.558333333334</v>
      </c>
      <c r="D325" s="45" t="s">
        <v>12</v>
      </c>
      <c r="E325">
        <v>1</v>
      </c>
      <c r="F325" s="45" t="s">
        <v>322</v>
      </c>
      <c r="G325" s="45" t="s">
        <v>14</v>
      </c>
      <c r="H325" s="45" t="s">
        <v>796</v>
      </c>
    </row>
    <row r="326" spans="1:8">
      <c r="A326">
        <v>325</v>
      </c>
      <c r="B326" s="45" t="s">
        <v>359</v>
      </c>
      <c r="C326" s="46">
        <v>45337.5625</v>
      </c>
      <c r="D326" s="45" t="s">
        <v>24</v>
      </c>
      <c r="E326">
        <v>1</v>
      </c>
      <c r="F326" s="45" t="s">
        <v>360</v>
      </c>
      <c r="G326" s="45" t="s">
        <v>10</v>
      </c>
      <c r="H326" s="45" t="s">
        <v>795</v>
      </c>
    </row>
    <row r="327" spans="1:8">
      <c r="A327">
        <v>326</v>
      </c>
      <c r="B327" s="45" t="s">
        <v>361</v>
      </c>
      <c r="C327" s="46">
        <v>45337.566666666666</v>
      </c>
      <c r="D327" s="45" t="s">
        <v>48</v>
      </c>
      <c r="E327">
        <v>1</v>
      </c>
      <c r="F327" s="45" t="s">
        <v>362</v>
      </c>
      <c r="G327" s="45" t="s">
        <v>14</v>
      </c>
      <c r="H327" s="45" t="s">
        <v>796</v>
      </c>
    </row>
    <row r="328" spans="1:8">
      <c r="A328">
        <v>327</v>
      </c>
      <c r="B328" s="45" t="s">
        <v>363</v>
      </c>
      <c r="C328" s="46">
        <v>45337.570833333331</v>
      </c>
      <c r="D328" s="45" t="s">
        <v>34</v>
      </c>
      <c r="E328">
        <v>1</v>
      </c>
      <c r="F328" s="45" t="s">
        <v>364</v>
      </c>
      <c r="G328" s="45" t="s">
        <v>10</v>
      </c>
      <c r="H328" s="45" t="s">
        <v>795</v>
      </c>
    </row>
    <row r="329" spans="1:8">
      <c r="A329">
        <v>328</v>
      </c>
      <c r="B329" s="45" t="s">
        <v>365</v>
      </c>
      <c r="C329" s="46">
        <v>45337.574999999997</v>
      </c>
      <c r="D329" s="45" t="s">
        <v>56</v>
      </c>
      <c r="E329">
        <v>1</v>
      </c>
      <c r="F329" s="45" t="s">
        <v>366</v>
      </c>
      <c r="G329" s="45" t="s">
        <v>14</v>
      </c>
      <c r="H329" s="45" t="s">
        <v>796</v>
      </c>
    </row>
    <row r="330" spans="1:8">
      <c r="A330">
        <v>329</v>
      </c>
      <c r="B330" s="45" t="s">
        <v>365</v>
      </c>
      <c r="C330" s="46">
        <v>45337.574999999997</v>
      </c>
      <c r="D330" s="45" t="s">
        <v>142</v>
      </c>
      <c r="E330">
        <v>1</v>
      </c>
      <c r="F330" s="45" t="s">
        <v>366</v>
      </c>
      <c r="G330" s="45" t="s">
        <v>789</v>
      </c>
      <c r="H330" s="45" t="s">
        <v>797</v>
      </c>
    </row>
    <row r="331" spans="1:8">
      <c r="A331">
        <v>330</v>
      </c>
      <c r="B331" s="45" t="s">
        <v>367</v>
      </c>
      <c r="C331" s="46">
        <v>45337.57916666667</v>
      </c>
      <c r="D331" s="45" t="s">
        <v>50</v>
      </c>
      <c r="E331">
        <v>1</v>
      </c>
      <c r="F331" s="45" t="s">
        <v>368</v>
      </c>
      <c r="G331" s="45" t="s">
        <v>10</v>
      </c>
      <c r="H331" s="45" t="s">
        <v>795</v>
      </c>
    </row>
    <row r="332" spans="1:8">
      <c r="A332">
        <v>331</v>
      </c>
      <c r="B332" s="45" t="s">
        <v>369</v>
      </c>
      <c r="C332" s="46">
        <v>45337.583333333336</v>
      </c>
      <c r="D332" s="45" t="s">
        <v>32</v>
      </c>
      <c r="E332">
        <v>1</v>
      </c>
      <c r="F332" s="45" t="s">
        <v>370</v>
      </c>
      <c r="G332" s="45" t="s">
        <v>14</v>
      </c>
      <c r="H332" s="45" t="s">
        <v>796</v>
      </c>
    </row>
    <row r="333" spans="1:8">
      <c r="A333">
        <v>332</v>
      </c>
      <c r="B333" s="45" t="s">
        <v>371</v>
      </c>
      <c r="C333" s="46">
        <v>45337.587500000001</v>
      </c>
      <c r="D333" s="45" t="s">
        <v>54</v>
      </c>
      <c r="E333">
        <v>1</v>
      </c>
      <c r="F333" s="45" t="s">
        <v>372</v>
      </c>
      <c r="G333" s="45" t="s">
        <v>10</v>
      </c>
      <c r="H333" s="45" t="s">
        <v>795</v>
      </c>
    </row>
    <row r="334" spans="1:8">
      <c r="A334">
        <v>333</v>
      </c>
      <c r="B334" s="45" t="s">
        <v>373</v>
      </c>
      <c r="C334" s="46">
        <v>45337.591666666667</v>
      </c>
      <c r="D334" s="45" t="s">
        <v>52</v>
      </c>
      <c r="E334">
        <v>1</v>
      </c>
      <c r="F334" s="45" t="s">
        <v>374</v>
      </c>
      <c r="G334" s="45" t="s">
        <v>14</v>
      </c>
      <c r="H334" s="45" t="s">
        <v>796</v>
      </c>
    </row>
    <row r="335" spans="1:8">
      <c r="A335">
        <v>334</v>
      </c>
      <c r="B335" s="45" t="s">
        <v>375</v>
      </c>
      <c r="C335" s="46">
        <v>45337.595833333333</v>
      </c>
      <c r="D335" s="45" t="s">
        <v>153</v>
      </c>
      <c r="E335">
        <v>1</v>
      </c>
      <c r="F335" s="45" t="s">
        <v>289</v>
      </c>
      <c r="G335" s="45" t="s">
        <v>10</v>
      </c>
      <c r="H335" s="45" t="s">
        <v>795</v>
      </c>
    </row>
    <row r="336" spans="1:8">
      <c r="A336">
        <v>335</v>
      </c>
      <c r="B336" s="45" t="s">
        <v>376</v>
      </c>
      <c r="C336" s="46">
        <v>45337.599999999999</v>
      </c>
      <c r="D336" s="45" t="s">
        <v>26</v>
      </c>
      <c r="E336">
        <v>1</v>
      </c>
      <c r="F336" s="45" t="s">
        <v>377</v>
      </c>
      <c r="G336" s="45" t="s">
        <v>14</v>
      </c>
      <c r="H336" s="45" t="s">
        <v>796</v>
      </c>
    </row>
    <row r="337" spans="1:8">
      <c r="A337">
        <v>336</v>
      </c>
      <c r="B337" s="45" t="s">
        <v>378</v>
      </c>
      <c r="C337" s="46">
        <v>45337.604166666664</v>
      </c>
      <c r="D337" s="45" t="s">
        <v>166</v>
      </c>
      <c r="E337">
        <v>1</v>
      </c>
      <c r="F337" s="45" t="s">
        <v>379</v>
      </c>
      <c r="G337" s="45" t="s">
        <v>10</v>
      </c>
      <c r="H337" s="45" t="s">
        <v>795</v>
      </c>
    </row>
    <row r="338" spans="1:8">
      <c r="A338">
        <v>337</v>
      </c>
      <c r="B338" s="45" t="s">
        <v>380</v>
      </c>
      <c r="C338" s="46">
        <v>45337.60833333333</v>
      </c>
      <c r="D338" s="45" t="s">
        <v>8</v>
      </c>
      <c r="E338">
        <v>1</v>
      </c>
      <c r="F338" s="45" t="s">
        <v>381</v>
      </c>
      <c r="G338" s="45" t="s">
        <v>14</v>
      </c>
      <c r="H338" s="45" t="s">
        <v>796</v>
      </c>
    </row>
    <row r="339" spans="1:8">
      <c r="A339">
        <v>338</v>
      </c>
      <c r="B339" s="45" t="s">
        <v>382</v>
      </c>
      <c r="C339" s="46">
        <v>45337.619444444441</v>
      </c>
      <c r="D339" s="45" t="s">
        <v>59</v>
      </c>
      <c r="E339">
        <v>1</v>
      </c>
      <c r="F339" s="45" t="s">
        <v>339</v>
      </c>
      <c r="G339" s="45" t="s">
        <v>10</v>
      </c>
      <c r="H339" s="45" t="s">
        <v>795</v>
      </c>
    </row>
    <row r="340" spans="1:8">
      <c r="A340">
        <v>339</v>
      </c>
      <c r="B340" s="45" t="s">
        <v>383</v>
      </c>
      <c r="C340" s="46">
        <v>45337.630555555559</v>
      </c>
      <c r="D340" s="45" t="s">
        <v>67</v>
      </c>
      <c r="E340">
        <v>1</v>
      </c>
      <c r="F340" s="45" t="s">
        <v>384</v>
      </c>
      <c r="G340" s="45" t="s">
        <v>14</v>
      </c>
      <c r="H340" s="45" t="s">
        <v>796</v>
      </c>
    </row>
    <row r="341" spans="1:8">
      <c r="A341">
        <v>340</v>
      </c>
      <c r="B341" s="45" t="s">
        <v>385</v>
      </c>
      <c r="C341" s="46">
        <v>45337.64166666667</v>
      </c>
      <c r="D341" s="45" t="s">
        <v>38</v>
      </c>
      <c r="E341">
        <v>1</v>
      </c>
      <c r="F341" s="45" t="s">
        <v>386</v>
      </c>
      <c r="G341" s="45" t="s">
        <v>10</v>
      </c>
      <c r="H341" s="45" t="s">
        <v>795</v>
      </c>
    </row>
    <row r="342" spans="1:8">
      <c r="A342">
        <v>341</v>
      </c>
      <c r="B342" s="45" t="s">
        <v>387</v>
      </c>
      <c r="C342" s="46">
        <v>45337.652777777781</v>
      </c>
      <c r="D342" s="45" t="s">
        <v>21</v>
      </c>
      <c r="E342">
        <v>1</v>
      </c>
      <c r="F342" s="45" t="s">
        <v>345</v>
      </c>
      <c r="G342" s="45" t="s">
        <v>14</v>
      </c>
      <c r="H342" s="45" t="s">
        <v>796</v>
      </c>
    </row>
    <row r="343" spans="1:8">
      <c r="A343">
        <v>342</v>
      </c>
      <c r="B343" s="45" t="s">
        <v>388</v>
      </c>
      <c r="C343" s="46">
        <v>45337.663888888892</v>
      </c>
      <c r="D343" s="45" t="s">
        <v>28</v>
      </c>
      <c r="E343">
        <v>1</v>
      </c>
      <c r="F343" s="45" t="s">
        <v>389</v>
      </c>
      <c r="G343" s="45" t="s">
        <v>10</v>
      </c>
      <c r="H343" s="45" t="s">
        <v>795</v>
      </c>
    </row>
    <row r="344" spans="1:8">
      <c r="A344">
        <v>343</v>
      </c>
      <c r="B344" s="45" t="s">
        <v>390</v>
      </c>
      <c r="C344" s="46">
        <v>45337.675000000003</v>
      </c>
      <c r="D344" s="45" t="s">
        <v>30</v>
      </c>
      <c r="E344">
        <v>1</v>
      </c>
      <c r="F344" s="45" t="s">
        <v>391</v>
      </c>
      <c r="G344" s="45" t="s">
        <v>14</v>
      </c>
      <c r="H344" s="45" t="s">
        <v>796</v>
      </c>
    </row>
    <row r="345" spans="1:8">
      <c r="A345">
        <v>344</v>
      </c>
      <c r="B345" s="45" t="s">
        <v>392</v>
      </c>
      <c r="C345" s="46">
        <v>45337.686111111114</v>
      </c>
      <c r="D345" s="45" t="s">
        <v>12</v>
      </c>
      <c r="E345">
        <v>1</v>
      </c>
      <c r="F345" s="45" t="s">
        <v>393</v>
      </c>
      <c r="G345" s="45" t="s">
        <v>10</v>
      </c>
      <c r="H345" s="45" t="s">
        <v>795</v>
      </c>
    </row>
    <row r="346" spans="1:8">
      <c r="A346">
        <v>345</v>
      </c>
      <c r="B346" s="45" t="s">
        <v>394</v>
      </c>
      <c r="C346" s="46">
        <v>45337.697222222225</v>
      </c>
      <c r="D346" s="45" t="s">
        <v>153</v>
      </c>
      <c r="E346">
        <v>1</v>
      </c>
      <c r="F346" s="45" t="s">
        <v>37</v>
      </c>
      <c r="G346" s="45" t="s">
        <v>14</v>
      </c>
      <c r="H346" s="45" t="s">
        <v>796</v>
      </c>
    </row>
    <row r="347" spans="1:8">
      <c r="A347">
        <v>346</v>
      </c>
      <c r="B347" s="45" t="s">
        <v>395</v>
      </c>
      <c r="C347" s="46">
        <v>45337.708333333336</v>
      </c>
      <c r="D347" s="45" t="s">
        <v>48</v>
      </c>
      <c r="E347">
        <v>1</v>
      </c>
      <c r="F347" s="45" t="s">
        <v>396</v>
      </c>
      <c r="G347" s="45" t="s">
        <v>10</v>
      </c>
      <c r="H347" s="45" t="s">
        <v>795</v>
      </c>
    </row>
    <row r="348" spans="1:8">
      <c r="A348">
        <v>347</v>
      </c>
      <c r="B348" s="45" t="s">
        <v>397</v>
      </c>
      <c r="C348" s="46">
        <v>45338.297222222223</v>
      </c>
      <c r="D348" s="45" t="s">
        <v>28</v>
      </c>
      <c r="E348">
        <v>1</v>
      </c>
      <c r="F348" s="45" t="s">
        <v>398</v>
      </c>
      <c r="G348" s="45" t="s">
        <v>10</v>
      </c>
      <c r="H348" s="45" t="s">
        <v>795</v>
      </c>
    </row>
    <row r="349" spans="1:8">
      <c r="A349">
        <v>348</v>
      </c>
      <c r="B349" s="45" t="s">
        <v>399</v>
      </c>
      <c r="C349" s="46">
        <v>45338.302083333336</v>
      </c>
      <c r="D349" s="45" t="s">
        <v>52</v>
      </c>
      <c r="E349">
        <v>1</v>
      </c>
      <c r="F349" s="45" t="s">
        <v>303</v>
      </c>
      <c r="G349" s="45" t="s">
        <v>14</v>
      </c>
      <c r="H349" s="45" t="s">
        <v>796</v>
      </c>
    </row>
    <row r="350" spans="1:8">
      <c r="A350">
        <v>349</v>
      </c>
      <c r="B350" s="45" t="s">
        <v>400</v>
      </c>
      <c r="C350" s="46">
        <v>45338.306944444441</v>
      </c>
      <c r="D350" s="45" t="s">
        <v>34</v>
      </c>
      <c r="E350">
        <v>1</v>
      </c>
      <c r="F350" s="45" t="s">
        <v>401</v>
      </c>
      <c r="G350" s="45" t="s">
        <v>789</v>
      </c>
      <c r="H350" s="45" t="s">
        <v>797</v>
      </c>
    </row>
    <row r="351" spans="1:8">
      <c r="A351">
        <v>350</v>
      </c>
      <c r="B351" s="45" t="s">
        <v>400</v>
      </c>
      <c r="C351" s="46">
        <v>45338.306944444441</v>
      </c>
      <c r="D351" s="45" t="s">
        <v>54</v>
      </c>
      <c r="E351">
        <v>1</v>
      </c>
      <c r="F351" s="45" t="s">
        <v>401</v>
      </c>
      <c r="G351" s="45" t="s">
        <v>10</v>
      </c>
      <c r="H351" s="45" t="s">
        <v>795</v>
      </c>
    </row>
    <row r="352" spans="1:8">
      <c r="A352">
        <v>351</v>
      </c>
      <c r="B352" s="45" t="s">
        <v>402</v>
      </c>
      <c r="C352" s="46">
        <v>45338.311805555553</v>
      </c>
      <c r="D352" s="45" t="s">
        <v>56</v>
      </c>
      <c r="E352">
        <v>1</v>
      </c>
      <c r="F352" s="45" t="s">
        <v>403</v>
      </c>
      <c r="G352" s="45" t="s">
        <v>14</v>
      </c>
      <c r="H352" s="45" t="s">
        <v>796</v>
      </c>
    </row>
    <row r="353" spans="1:8">
      <c r="A353">
        <v>352</v>
      </c>
      <c r="B353" s="45" t="s">
        <v>404</v>
      </c>
      <c r="C353" s="46">
        <v>45338.316666666666</v>
      </c>
      <c r="D353" s="45" t="s">
        <v>153</v>
      </c>
      <c r="E353">
        <v>1</v>
      </c>
      <c r="F353" s="45" t="s">
        <v>332</v>
      </c>
      <c r="G353" s="45" t="s">
        <v>10</v>
      </c>
      <c r="H353" s="45" t="s">
        <v>795</v>
      </c>
    </row>
    <row r="354" spans="1:8">
      <c r="A354">
        <v>353</v>
      </c>
      <c r="B354" s="45" t="s">
        <v>405</v>
      </c>
      <c r="C354" s="46">
        <v>45338.321527777778</v>
      </c>
      <c r="D354" s="45" t="s">
        <v>38</v>
      </c>
      <c r="E354">
        <v>1</v>
      </c>
      <c r="F354" s="45" t="s">
        <v>406</v>
      </c>
      <c r="G354" s="45" t="s">
        <v>14</v>
      </c>
      <c r="H354" s="45" t="s">
        <v>796</v>
      </c>
    </row>
    <row r="355" spans="1:8">
      <c r="A355">
        <v>354</v>
      </c>
      <c r="B355" s="45" t="s">
        <v>407</v>
      </c>
      <c r="C355" s="46">
        <v>45338.32708333333</v>
      </c>
      <c r="D355" s="45" t="s">
        <v>89</v>
      </c>
      <c r="E355">
        <v>1</v>
      </c>
      <c r="F355" s="45" t="s">
        <v>336</v>
      </c>
      <c r="G355" s="45" t="s">
        <v>10</v>
      </c>
      <c r="H355" s="45" t="s">
        <v>795</v>
      </c>
    </row>
    <row r="356" spans="1:8">
      <c r="A356">
        <v>355</v>
      </c>
      <c r="B356" s="45" t="s">
        <v>408</v>
      </c>
      <c r="C356" s="46">
        <v>45338.331944444442</v>
      </c>
      <c r="D356" s="45" t="s">
        <v>24</v>
      </c>
      <c r="E356">
        <v>1</v>
      </c>
      <c r="F356" s="45" t="s">
        <v>409</v>
      </c>
      <c r="G356" s="45" t="s">
        <v>14</v>
      </c>
      <c r="H356" s="45" t="s">
        <v>796</v>
      </c>
    </row>
    <row r="357" spans="1:8">
      <c r="A357">
        <v>356</v>
      </c>
      <c r="B357" s="45" t="s">
        <v>408</v>
      </c>
      <c r="C357" s="46">
        <v>45338.331944444442</v>
      </c>
      <c r="D357" s="45" t="s">
        <v>32</v>
      </c>
      <c r="E357">
        <v>1</v>
      </c>
      <c r="F357" s="45" t="s">
        <v>409</v>
      </c>
      <c r="G357" s="45" t="s">
        <v>789</v>
      </c>
      <c r="H357" s="45" t="s">
        <v>797</v>
      </c>
    </row>
    <row r="358" spans="1:8">
      <c r="A358">
        <v>357</v>
      </c>
      <c r="B358" s="45" t="s">
        <v>410</v>
      </c>
      <c r="C358" s="46">
        <v>45338.336805555555</v>
      </c>
      <c r="D358" s="45" t="s">
        <v>18</v>
      </c>
      <c r="E358">
        <v>1</v>
      </c>
      <c r="F358" s="45" t="s">
        <v>411</v>
      </c>
      <c r="G358" s="45" t="s">
        <v>10</v>
      </c>
      <c r="H358" s="45" t="s">
        <v>795</v>
      </c>
    </row>
    <row r="359" spans="1:8">
      <c r="A359">
        <v>358</v>
      </c>
      <c r="B359" s="45" t="s">
        <v>412</v>
      </c>
      <c r="C359" s="46">
        <v>45338.341666666667</v>
      </c>
      <c r="D359" s="45" t="s">
        <v>36</v>
      </c>
      <c r="E359">
        <v>1</v>
      </c>
      <c r="F359" s="45" t="s">
        <v>413</v>
      </c>
      <c r="G359" s="45" t="s">
        <v>14</v>
      </c>
      <c r="H359" s="45" t="s">
        <v>796</v>
      </c>
    </row>
    <row r="360" spans="1:8">
      <c r="A360">
        <v>359</v>
      </c>
      <c r="B360" s="45" t="s">
        <v>414</v>
      </c>
      <c r="C360" s="46">
        <v>45338.34652777778</v>
      </c>
      <c r="D360" s="45" t="s">
        <v>48</v>
      </c>
      <c r="E360">
        <v>1</v>
      </c>
      <c r="F360" s="45" t="s">
        <v>415</v>
      </c>
      <c r="G360" s="45" t="s">
        <v>10</v>
      </c>
      <c r="H360" s="45" t="s">
        <v>795</v>
      </c>
    </row>
    <row r="361" spans="1:8">
      <c r="A361">
        <v>360</v>
      </c>
      <c r="B361" s="45" t="s">
        <v>416</v>
      </c>
      <c r="C361" s="46">
        <v>45338.351388888892</v>
      </c>
      <c r="D361" s="45" t="s">
        <v>42</v>
      </c>
      <c r="E361">
        <v>1</v>
      </c>
      <c r="F361" s="45" t="s">
        <v>417</v>
      </c>
      <c r="G361" s="45" t="s">
        <v>14</v>
      </c>
      <c r="H361" s="45" t="s">
        <v>796</v>
      </c>
    </row>
    <row r="362" spans="1:8">
      <c r="A362">
        <v>361</v>
      </c>
      <c r="B362" s="45" t="s">
        <v>416</v>
      </c>
      <c r="C362" s="46">
        <v>45338.351388888892</v>
      </c>
      <c r="D362" s="45" t="s">
        <v>30</v>
      </c>
      <c r="E362">
        <v>1</v>
      </c>
      <c r="F362" s="45" t="s">
        <v>417</v>
      </c>
      <c r="G362" s="45" t="s">
        <v>789</v>
      </c>
      <c r="H362" s="45" t="s">
        <v>797</v>
      </c>
    </row>
    <row r="363" spans="1:8">
      <c r="A363">
        <v>362</v>
      </c>
      <c r="B363" s="45" t="s">
        <v>418</v>
      </c>
      <c r="C363" s="46">
        <v>45338.356249999997</v>
      </c>
      <c r="D363" s="45" t="s">
        <v>45</v>
      </c>
      <c r="E363">
        <v>1</v>
      </c>
      <c r="F363" s="45" t="s">
        <v>419</v>
      </c>
      <c r="G363" s="45" t="s">
        <v>10</v>
      </c>
      <c r="H363" s="45" t="s">
        <v>795</v>
      </c>
    </row>
    <row r="364" spans="1:8">
      <c r="A364">
        <v>363</v>
      </c>
      <c r="B364" s="45" t="s">
        <v>420</v>
      </c>
      <c r="C364" s="46">
        <v>45338.361111111109</v>
      </c>
      <c r="D364" s="45" t="s">
        <v>110</v>
      </c>
      <c r="E364">
        <v>1</v>
      </c>
      <c r="F364" s="45" t="s">
        <v>307</v>
      </c>
      <c r="G364" s="45" t="s">
        <v>14</v>
      </c>
      <c r="H364" s="45" t="s">
        <v>796</v>
      </c>
    </row>
    <row r="365" spans="1:8">
      <c r="A365">
        <v>364</v>
      </c>
      <c r="B365" s="45" t="s">
        <v>421</v>
      </c>
      <c r="C365" s="46">
        <v>45338.366666666669</v>
      </c>
      <c r="D365" s="45" t="s">
        <v>160</v>
      </c>
      <c r="E365">
        <v>1</v>
      </c>
      <c r="F365" s="45" t="s">
        <v>309</v>
      </c>
      <c r="G365" s="45" t="s">
        <v>10</v>
      </c>
      <c r="H365" s="45" t="s">
        <v>795</v>
      </c>
    </row>
    <row r="366" spans="1:8">
      <c r="A366">
        <v>365</v>
      </c>
      <c r="B366" s="45" t="s">
        <v>422</v>
      </c>
      <c r="C366" s="46">
        <v>45338.371527777781</v>
      </c>
      <c r="D366" s="45" t="s">
        <v>123</v>
      </c>
      <c r="E366">
        <v>1</v>
      </c>
      <c r="F366" s="45" t="s">
        <v>37</v>
      </c>
      <c r="G366" s="45" t="s">
        <v>14</v>
      </c>
      <c r="H366" s="45" t="s">
        <v>796</v>
      </c>
    </row>
    <row r="367" spans="1:8">
      <c r="A367">
        <v>366</v>
      </c>
      <c r="B367" s="45" t="s">
        <v>423</v>
      </c>
      <c r="C367" s="46">
        <v>45338.376388888886</v>
      </c>
      <c r="D367" s="45" t="s">
        <v>8</v>
      </c>
      <c r="E367">
        <v>1</v>
      </c>
      <c r="F367" s="45" t="s">
        <v>396</v>
      </c>
      <c r="G367" s="45" t="s">
        <v>10</v>
      </c>
      <c r="H367" s="45" t="s">
        <v>795</v>
      </c>
    </row>
    <row r="368" spans="1:8">
      <c r="A368">
        <v>367</v>
      </c>
      <c r="B368" s="45" t="s">
        <v>424</v>
      </c>
      <c r="C368" s="46">
        <v>45338.381249999999</v>
      </c>
      <c r="D368" s="45" t="s">
        <v>59</v>
      </c>
      <c r="E368">
        <v>1</v>
      </c>
      <c r="F368" s="45" t="s">
        <v>314</v>
      </c>
      <c r="G368" s="45" t="s">
        <v>14</v>
      </c>
      <c r="H368" s="45" t="s">
        <v>796</v>
      </c>
    </row>
    <row r="369" spans="1:8">
      <c r="A369">
        <v>368</v>
      </c>
      <c r="B369" s="45" t="s">
        <v>424</v>
      </c>
      <c r="C369" s="46">
        <v>45338.381249999999</v>
      </c>
      <c r="D369" s="45" t="s">
        <v>12</v>
      </c>
      <c r="E369">
        <v>1</v>
      </c>
      <c r="F369" s="45" t="s">
        <v>314</v>
      </c>
      <c r="G369" s="45" t="s">
        <v>789</v>
      </c>
      <c r="H369" s="45" t="s">
        <v>797</v>
      </c>
    </row>
    <row r="370" spans="1:8">
      <c r="A370">
        <v>369</v>
      </c>
      <c r="B370" s="45" t="s">
        <v>425</v>
      </c>
      <c r="C370" s="46">
        <v>45338.386111111111</v>
      </c>
      <c r="D370" s="45" t="s">
        <v>67</v>
      </c>
      <c r="E370">
        <v>1</v>
      </c>
      <c r="F370" s="45" t="s">
        <v>316</v>
      </c>
      <c r="G370" s="45" t="s">
        <v>10</v>
      </c>
      <c r="H370" s="45" t="s">
        <v>795</v>
      </c>
    </row>
    <row r="371" spans="1:8">
      <c r="A371">
        <v>370</v>
      </c>
      <c r="B371" s="45" t="s">
        <v>426</v>
      </c>
      <c r="C371" s="46">
        <v>45338.390972222223</v>
      </c>
      <c r="D371" s="45" t="s">
        <v>21</v>
      </c>
      <c r="E371">
        <v>1</v>
      </c>
      <c r="F371" s="45" t="s">
        <v>427</v>
      </c>
      <c r="G371" s="45" t="s">
        <v>14</v>
      </c>
      <c r="H371" s="45" t="s">
        <v>796</v>
      </c>
    </row>
    <row r="372" spans="1:8">
      <c r="A372">
        <v>371</v>
      </c>
      <c r="B372" s="45" t="s">
        <v>428</v>
      </c>
      <c r="C372" s="46">
        <v>45338.395833333336</v>
      </c>
      <c r="D372" s="45" t="s">
        <v>50</v>
      </c>
      <c r="E372">
        <v>1</v>
      </c>
      <c r="F372" s="45" t="s">
        <v>320</v>
      </c>
      <c r="G372" s="45" t="s">
        <v>10</v>
      </c>
      <c r="H372" s="45" t="s">
        <v>795</v>
      </c>
    </row>
    <row r="373" spans="1:8">
      <c r="A373">
        <v>372</v>
      </c>
      <c r="B373" s="45" t="s">
        <v>429</v>
      </c>
      <c r="C373" s="46">
        <v>45338.401388888888</v>
      </c>
      <c r="D373" s="45" t="s">
        <v>26</v>
      </c>
      <c r="E373">
        <v>1</v>
      </c>
      <c r="F373" s="45" t="s">
        <v>322</v>
      </c>
      <c r="G373" s="45" t="s">
        <v>14</v>
      </c>
      <c r="H373" s="45" t="s">
        <v>796</v>
      </c>
    </row>
    <row r="374" spans="1:8">
      <c r="A374">
        <v>373</v>
      </c>
      <c r="B374" s="45" t="s">
        <v>430</v>
      </c>
      <c r="C374" s="46">
        <v>45338.40625</v>
      </c>
      <c r="D374" s="45" t="s">
        <v>142</v>
      </c>
      <c r="E374">
        <v>1</v>
      </c>
      <c r="F374" s="45" t="s">
        <v>431</v>
      </c>
      <c r="G374" s="45" t="s">
        <v>10</v>
      </c>
      <c r="H374" s="45" t="s">
        <v>795</v>
      </c>
    </row>
    <row r="375" spans="1:8">
      <c r="A375">
        <v>374</v>
      </c>
      <c r="B375" s="45" t="s">
        <v>432</v>
      </c>
      <c r="C375" s="46">
        <v>45338.411111111112</v>
      </c>
      <c r="D375" s="45" t="s">
        <v>166</v>
      </c>
      <c r="E375">
        <v>1</v>
      </c>
      <c r="F375" s="45" t="s">
        <v>362</v>
      </c>
      <c r="G375" s="45" t="s">
        <v>14</v>
      </c>
      <c r="H375" s="45" t="s">
        <v>796</v>
      </c>
    </row>
    <row r="376" spans="1:8">
      <c r="A376">
        <v>375</v>
      </c>
      <c r="B376" s="45" t="s">
        <v>433</v>
      </c>
      <c r="C376" s="46">
        <v>45338.415972222225</v>
      </c>
      <c r="D376" s="45" t="s">
        <v>24</v>
      </c>
      <c r="E376">
        <v>1</v>
      </c>
      <c r="F376" s="45" t="s">
        <v>434</v>
      </c>
      <c r="G376" s="45" t="s">
        <v>10</v>
      </c>
      <c r="H376" s="45" t="s">
        <v>795</v>
      </c>
    </row>
    <row r="377" spans="1:8">
      <c r="A377">
        <v>376</v>
      </c>
      <c r="B377" s="45" t="s">
        <v>435</v>
      </c>
      <c r="C377" s="46">
        <v>45338.420138888891</v>
      </c>
      <c r="D377" s="45" t="s">
        <v>42</v>
      </c>
      <c r="E377">
        <v>1</v>
      </c>
      <c r="F377" s="45" t="s">
        <v>324</v>
      </c>
      <c r="G377" s="45" t="s">
        <v>14</v>
      </c>
      <c r="H377" s="45" t="s">
        <v>796</v>
      </c>
    </row>
    <row r="378" spans="1:8">
      <c r="A378">
        <v>377</v>
      </c>
      <c r="B378" s="45" t="s">
        <v>436</v>
      </c>
      <c r="C378" s="46">
        <v>45338.431250000001</v>
      </c>
      <c r="D378" s="45" t="s">
        <v>30</v>
      </c>
      <c r="E378">
        <v>1</v>
      </c>
      <c r="F378" s="45" t="s">
        <v>437</v>
      </c>
      <c r="G378" s="45" t="s">
        <v>10</v>
      </c>
      <c r="H378" s="45" t="s">
        <v>795</v>
      </c>
    </row>
    <row r="379" spans="1:8">
      <c r="A379">
        <v>378</v>
      </c>
      <c r="B379" s="45" t="s">
        <v>438</v>
      </c>
      <c r="C379" s="46">
        <v>45338.443055555559</v>
      </c>
      <c r="D379" s="45" t="s">
        <v>8</v>
      </c>
      <c r="E379">
        <v>1</v>
      </c>
      <c r="F379" s="45" t="s">
        <v>439</v>
      </c>
      <c r="G379" s="45" t="s">
        <v>14</v>
      </c>
      <c r="H379" s="45" t="s">
        <v>796</v>
      </c>
    </row>
    <row r="380" spans="1:8">
      <c r="A380">
        <v>379</v>
      </c>
      <c r="B380" s="45" t="s">
        <v>440</v>
      </c>
      <c r="C380" s="46">
        <v>45338.45416666667</v>
      </c>
      <c r="D380" s="45" t="s">
        <v>67</v>
      </c>
      <c r="E380">
        <v>1</v>
      </c>
      <c r="F380" s="45" t="s">
        <v>441</v>
      </c>
      <c r="G380" s="45" t="s">
        <v>10</v>
      </c>
      <c r="H380" s="45" t="s">
        <v>795</v>
      </c>
    </row>
    <row r="381" spans="1:8">
      <c r="A381">
        <v>380</v>
      </c>
      <c r="B381" s="45" t="s">
        <v>440</v>
      </c>
      <c r="C381" s="46">
        <v>45338.45416666667</v>
      </c>
      <c r="D381" s="45" t="s">
        <v>166</v>
      </c>
      <c r="E381">
        <v>1</v>
      </c>
      <c r="F381" s="45" t="s">
        <v>441</v>
      </c>
      <c r="G381" s="45" t="s">
        <v>789</v>
      </c>
      <c r="H381" s="45" t="s">
        <v>797</v>
      </c>
    </row>
    <row r="382" spans="1:8">
      <c r="A382">
        <v>381</v>
      </c>
      <c r="B382" s="45" t="s">
        <v>442</v>
      </c>
      <c r="C382" s="46">
        <v>45338.465277777781</v>
      </c>
      <c r="D382" s="45" t="s">
        <v>52</v>
      </c>
      <c r="E382">
        <v>1</v>
      </c>
      <c r="F382" s="45" t="s">
        <v>443</v>
      </c>
      <c r="G382" s="45" t="s">
        <v>14</v>
      </c>
      <c r="H382" s="45" t="s">
        <v>796</v>
      </c>
    </row>
    <row r="383" spans="1:8">
      <c r="A383">
        <v>382</v>
      </c>
      <c r="B383" s="45" t="s">
        <v>444</v>
      </c>
      <c r="C383" s="46">
        <v>45338.476388888892</v>
      </c>
      <c r="D383" s="45" t="s">
        <v>32</v>
      </c>
      <c r="E383">
        <v>1</v>
      </c>
      <c r="F383" s="45" t="s">
        <v>289</v>
      </c>
      <c r="G383" s="45" t="s">
        <v>10</v>
      </c>
      <c r="H383" s="45" t="s">
        <v>795</v>
      </c>
    </row>
    <row r="384" spans="1:8">
      <c r="A384">
        <v>383</v>
      </c>
      <c r="B384" s="45" t="s">
        <v>445</v>
      </c>
      <c r="C384" s="46">
        <v>45338.488194444442</v>
      </c>
      <c r="D384" s="45" t="s">
        <v>21</v>
      </c>
      <c r="E384">
        <v>1</v>
      </c>
      <c r="F384" s="45" t="s">
        <v>446</v>
      </c>
      <c r="G384" s="45" t="s">
        <v>14</v>
      </c>
      <c r="H384" s="45" t="s">
        <v>796</v>
      </c>
    </row>
    <row r="385" spans="1:8">
      <c r="A385">
        <v>384</v>
      </c>
      <c r="B385" s="45" t="s">
        <v>447</v>
      </c>
      <c r="C385" s="46">
        <v>45338.499305555553</v>
      </c>
      <c r="D385" s="45" t="s">
        <v>38</v>
      </c>
      <c r="E385">
        <v>1</v>
      </c>
      <c r="F385" s="45" t="s">
        <v>448</v>
      </c>
      <c r="G385" s="45" t="s">
        <v>10</v>
      </c>
      <c r="H385" s="45" t="s">
        <v>795</v>
      </c>
    </row>
    <row r="386" spans="1:8">
      <c r="A386">
        <v>385</v>
      </c>
      <c r="B386" s="45" t="s">
        <v>449</v>
      </c>
      <c r="C386" s="46">
        <v>45338.504166666666</v>
      </c>
      <c r="D386" s="45" t="s">
        <v>54</v>
      </c>
      <c r="E386">
        <v>1</v>
      </c>
      <c r="F386" s="45" t="s">
        <v>450</v>
      </c>
      <c r="G386" s="45" t="s">
        <v>14</v>
      </c>
      <c r="H386" s="45" t="s">
        <v>796</v>
      </c>
    </row>
    <row r="387" spans="1:8">
      <c r="A387">
        <v>386</v>
      </c>
      <c r="B387" s="45" t="s">
        <v>451</v>
      </c>
      <c r="C387" s="46">
        <v>45338.508333333331</v>
      </c>
      <c r="D387" s="45" t="s">
        <v>28</v>
      </c>
      <c r="E387">
        <v>1</v>
      </c>
      <c r="F387" s="45" t="s">
        <v>452</v>
      </c>
      <c r="G387" s="45" t="s">
        <v>10</v>
      </c>
      <c r="H387" s="45" t="s">
        <v>795</v>
      </c>
    </row>
    <row r="388" spans="1:8">
      <c r="A388">
        <v>387</v>
      </c>
      <c r="B388" s="45" t="s">
        <v>453</v>
      </c>
      <c r="C388" s="46">
        <v>45338.513194444444</v>
      </c>
      <c r="D388" s="45" t="s">
        <v>48</v>
      </c>
      <c r="E388">
        <v>1</v>
      </c>
      <c r="F388" s="45" t="s">
        <v>454</v>
      </c>
      <c r="G388" s="45" t="s">
        <v>14</v>
      </c>
      <c r="H388" s="45" t="s">
        <v>796</v>
      </c>
    </row>
    <row r="389" spans="1:8">
      <c r="A389">
        <v>388</v>
      </c>
      <c r="B389" s="45" t="s">
        <v>453</v>
      </c>
      <c r="C389" s="46">
        <v>45338.513194444444</v>
      </c>
      <c r="D389" s="45" t="s">
        <v>110</v>
      </c>
      <c r="E389">
        <v>1</v>
      </c>
      <c r="F389" s="45" t="s">
        <v>454</v>
      </c>
      <c r="G389" s="45" t="s">
        <v>789</v>
      </c>
      <c r="H389" s="45" t="s">
        <v>797</v>
      </c>
    </row>
    <row r="390" spans="1:8">
      <c r="A390">
        <v>389</v>
      </c>
      <c r="B390" s="45" t="s">
        <v>455</v>
      </c>
      <c r="C390" s="46">
        <v>45338.517361111109</v>
      </c>
      <c r="D390" s="45" t="s">
        <v>34</v>
      </c>
      <c r="E390">
        <v>1</v>
      </c>
      <c r="F390" s="45" t="s">
        <v>456</v>
      </c>
      <c r="G390" s="45" t="s">
        <v>10</v>
      </c>
      <c r="H390" s="45" t="s">
        <v>795</v>
      </c>
    </row>
    <row r="391" spans="1:8">
      <c r="A391">
        <v>390</v>
      </c>
      <c r="B391" s="45" t="s">
        <v>457</v>
      </c>
      <c r="C391" s="46">
        <v>45338.522222222222</v>
      </c>
      <c r="D391" s="45" t="s">
        <v>24</v>
      </c>
      <c r="E391">
        <v>1</v>
      </c>
      <c r="F391" s="45" t="s">
        <v>345</v>
      </c>
      <c r="G391" s="45" t="s">
        <v>14</v>
      </c>
      <c r="H391" s="45" t="s">
        <v>796</v>
      </c>
    </row>
    <row r="392" spans="1:8">
      <c r="A392">
        <v>391</v>
      </c>
      <c r="B392" s="45" t="s">
        <v>458</v>
      </c>
      <c r="C392" s="46">
        <v>45338.526388888888</v>
      </c>
      <c r="D392" s="45" t="s">
        <v>160</v>
      </c>
      <c r="E392">
        <v>1</v>
      </c>
      <c r="F392" s="45" t="s">
        <v>459</v>
      </c>
      <c r="G392" s="45" t="s">
        <v>10</v>
      </c>
      <c r="H392" s="45" t="s">
        <v>795</v>
      </c>
    </row>
    <row r="393" spans="1:8">
      <c r="A393">
        <v>392</v>
      </c>
      <c r="B393" s="45" t="s">
        <v>460</v>
      </c>
      <c r="C393" s="46">
        <v>45338.53125</v>
      </c>
      <c r="D393" s="45" t="s">
        <v>56</v>
      </c>
      <c r="E393">
        <v>1</v>
      </c>
      <c r="F393" s="45" t="s">
        <v>307</v>
      </c>
      <c r="G393" s="45" t="s">
        <v>14</v>
      </c>
      <c r="H393" s="45" t="s">
        <v>796</v>
      </c>
    </row>
    <row r="394" spans="1:8">
      <c r="A394">
        <v>393</v>
      </c>
      <c r="B394" s="45" t="s">
        <v>461</v>
      </c>
      <c r="C394" s="46">
        <v>45338.535416666666</v>
      </c>
      <c r="D394" s="45" t="s">
        <v>123</v>
      </c>
      <c r="E394">
        <v>1</v>
      </c>
      <c r="F394" s="45" t="s">
        <v>462</v>
      </c>
      <c r="G394" s="45" t="s">
        <v>10</v>
      </c>
      <c r="H394" s="45" t="s">
        <v>795</v>
      </c>
    </row>
    <row r="395" spans="1:8">
      <c r="A395">
        <v>394</v>
      </c>
      <c r="B395" s="45" t="s">
        <v>463</v>
      </c>
      <c r="C395" s="46">
        <v>45338.540277777778</v>
      </c>
      <c r="D395" s="45" t="s">
        <v>67</v>
      </c>
      <c r="E395">
        <v>1</v>
      </c>
      <c r="F395" s="45" t="s">
        <v>37</v>
      </c>
      <c r="G395" s="45" t="s">
        <v>14</v>
      </c>
      <c r="H395" s="45" t="s">
        <v>796</v>
      </c>
    </row>
    <row r="396" spans="1:8">
      <c r="A396">
        <v>395</v>
      </c>
      <c r="B396" s="45" t="s">
        <v>463</v>
      </c>
      <c r="C396" s="46">
        <v>45338.540277777778</v>
      </c>
      <c r="D396" s="45" t="s">
        <v>36</v>
      </c>
      <c r="E396">
        <v>1</v>
      </c>
      <c r="F396" s="45" t="s">
        <v>37</v>
      </c>
      <c r="G396" s="45" t="s">
        <v>789</v>
      </c>
      <c r="H396" s="45" t="s">
        <v>797</v>
      </c>
    </row>
    <row r="397" spans="1:8">
      <c r="A397">
        <v>396</v>
      </c>
      <c r="B397" s="45" t="s">
        <v>464</v>
      </c>
      <c r="C397" s="46">
        <v>45338.544444444444</v>
      </c>
      <c r="D397" s="45" t="s">
        <v>32</v>
      </c>
      <c r="E397">
        <v>1</v>
      </c>
      <c r="F397" s="45" t="s">
        <v>465</v>
      </c>
      <c r="G397" s="45" t="s">
        <v>10</v>
      </c>
      <c r="H397" s="45" t="s">
        <v>795</v>
      </c>
    </row>
    <row r="398" spans="1:8">
      <c r="A398">
        <v>397</v>
      </c>
      <c r="B398" s="45" t="s">
        <v>466</v>
      </c>
      <c r="C398" s="46">
        <v>45338.549305555556</v>
      </c>
      <c r="D398" s="45" t="s">
        <v>12</v>
      </c>
      <c r="E398">
        <v>1</v>
      </c>
      <c r="F398" s="45" t="s">
        <v>398</v>
      </c>
      <c r="G398" s="45" t="s">
        <v>14</v>
      </c>
      <c r="H398" s="45" t="s">
        <v>796</v>
      </c>
    </row>
    <row r="399" spans="1:8">
      <c r="A399">
        <v>398</v>
      </c>
      <c r="B399" s="45" t="s">
        <v>467</v>
      </c>
      <c r="C399" s="46">
        <v>45338.553472222222</v>
      </c>
      <c r="D399" s="45" t="s">
        <v>153</v>
      </c>
      <c r="E399">
        <v>1</v>
      </c>
      <c r="F399" s="45" t="s">
        <v>468</v>
      </c>
      <c r="G399" s="45" t="s">
        <v>10</v>
      </c>
      <c r="H399" s="45" t="s">
        <v>795</v>
      </c>
    </row>
    <row r="400" spans="1:8">
      <c r="A400">
        <v>399</v>
      </c>
      <c r="B400" s="45" t="s">
        <v>469</v>
      </c>
      <c r="C400" s="46">
        <v>45338.558333333334</v>
      </c>
      <c r="D400" s="45" t="s">
        <v>8</v>
      </c>
      <c r="E400">
        <v>1</v>
      </c>
      <c r="F400" s="45" t="s">
        <v>427</v>
      </c>
      <c r="G400" s="45" t="s">
        <v>14</v>
      </c>
      <c r="H400" s="45" t="s">
        <v>796</v>
      </c>
    </row>
    <row r="401" spans="1:8">
      <c r="A401">
        <v>400</v>
      </c>
      <c r="B401" s="45" t="s">
        <v>470</v>
      </c>
      <c r="C401" s="46">
        <v>45338.5625</v>
      </c>
      <c r="D401" s="45" t="s">
        <v>30</v>
      </c>
      <c r="E401">
        <v>1</v>
      </c>
      <c r="F401" s="45" t="s">
        <v>471</v>
      </c>
      <c r="G401" s="45" t="s">
        <v>10</v>
      </c>
      <c r="H401" s="45" t="s">
        <v>795</v>
      </c>
    </row>
    <row r="402" spans="1:8">
      <c r="A402">
        <v>401</v>
      </c>
      <c r="B402" s="45" t="s">
        <v>472</v>
      </c>
      <c r="C402" s="46">
        <v>45338.567361111112</v>
      </c>
      <c r="D402" s="45" t="s">
        <v>52</v>
      </c>
      <c r="E402">
        <v>1</v>
      </c>
      <c r="F402" s="45" t="s">
        <v>322</v>
      </c>
      <c r="G402" s="45" t="s">
        <v>14</v>
      </c>
      <c r="H402" s="45" t="s">
        <v>796</v>
      </c>
    </row>
    <row r="403" spans="1:8">
      <c r="A403">
        <v>402</v>
      </c>
      <c r="B403" s="45" t="s">
        <v>473</v>
      </c>
      <c r="C403" s="46">
        <v>45338.571527777778</v>
      </c>
      <c r="D403" s="45" t="s">
        <v>18</v>
      </c>
      <c r="E403">
        <v>1</v>
      </c>
      <c r="F403" s="45" t="s">
        <v>474</v>
      </c>
      <c r="G403" s="45" t="s">
        <v>10</v>
      </c>
      <c r="H403" s="45" t="s">
        <v>795</v>
      </c>
    </row>
    <row r="404" spans="1:8">
      <c r="A404">
        <v>403</v>
      </c>
      <c r="B404" s="45" t="s">
        <v>475</v>
      </c>
      <c r="C404" s="46">
        <v>45338.576388888891</v>
      </c>
      <c r="D404" s="45" t="s">
        <v>42</v>
      </c>
      <c r="E404">
        <v>1</v>
      </c>
      <c r="F404" s="45" t="s">
        <v>362</v>
      </c>
      <c r="G404" s="45" t="s">
        <v>14</v>
      </c>
      <c r="H404" s="45" t="s">
        <v>796</v>
      </c>
    </row>
    <row r="405" spans="1:8">
      <c r="A405">
        <v>404</v>
      </c>
      <c r="B405" s="45" t="s">
        <v>476</v>
      </c>
      <c r="C405" s="46">
        <v>45338.580555555556</v>
      </c>
      <c r="D405" s="45" t="s">
        <v>45</v>
      </c>
      <c r="E405">
        <v>1</v>
      </c>
      <c r="F405" s="45" t="s">
        <v>434</v>
      </c>
      <c r="G405" s="45" t="s">
        <v>10</v>
      </c>
      <c r="H405" s="45" t="s">
        <v>795</v>
      </c>
    </row>
    <row r="406" spans="1:8">
      <c r="A406">
        <v>405</v>
      </c>
      <c r="B406" s="45" t="s">
        <v>477</v>
      </c>
      <c r="C406" s="46">
        <v>45338.585416666669</v>
      </c>
      <c r="D406" s="45" t="s">
        <v>89</v>
      </c>
      <c r="E406">
        <v>1</v>
      </c>
      <c r="F406" s="45" t="s">
        <v>478</v>
      </c>
      <c r="G406" s="45" t="s">
        <v>14</v>
      </c>
      <c r="H406" s="45" t="s">
        <v>796</v>
      </c>
    </row>
    <row r="407" spans="1:8">
      <c r="A407">
        <v>406</v>
      </c>
      <c r="B407" s="45" t="s">
        <v>477</v>
      </c>
      <c r="C407" s="46">
        <v>45338.585416666669</v>
      </c>
      <c r="D407" s="45" t="s">
        <v>21</v>
      </c>
      <c r="E407">
        <v>1</v>
      </c>
      <c r="F407" s="45" t="s">
        <v>478</v>
      </c>
      <c r="G407" s="45" t="s">
        <v>789</v>
      </c>
      <c r="H407" s="45" t="s">
        <v>797</v>
      </c>
    </row>
    <row r="408" spans="1:8">
      <c r="A408">
        <v>407</v>
      </c>
      <c r="B408" s="45" t="s">
        <v>479</v>
      </c>
      <c r="C408" s="46">
        <v>45338.589583333334</v>
      </c>
      <c r="D408" s="45" t="s">
        <v>59</v>
      </c>
      <c r="E408">
        <v>1</v>
      </c>
      <c r="F408" s="45" t="s">
        <v>368</v>
      </c>
      <c r="G408" s="45" t="s">
        <v>10</v>
      </c>
      <c r="H408" s="45" t="s">
        <v>795</v>
      </c>
    </row>
    <row r="409" spans="1:8">
      <c r="A409">
        <v>408</v>
      </c>
      <c r="B409" s="45" t="s">
        <v>480</v>
      </c>
      <c r="C409" s="46">
        <v>45338.594444444447</v>
      </c>
      <c r="D409" s="45" t="s">
        <v>50</v>
      </c>
      <c r="E409">
        <v>1</v>
      </c>
      <c r="F409" s="45" t="s">
        <v>370</v>
      </c>
      <c r="G409" s="45" t="s">
        <v>14</v>
      </c>
      <c r="H409" s="45" t="s">
        <v>796</v>
      </c>
    </row>
    <row r="410" spans="1:8">
      <c r="A410">
        <v>409</v>
      </c>
      <c r="B410" s="45" t="s">
        <v>481</v>
      </c>
      <c r="C410" s="46">
        <v>45338.598611111112</v>
      </c>
      <c r="D410" s="45" t="s">
        <v>38</v>
      </c>
      <c r="E410">
        <v>1</v>
      </c>
      <c r="F410" s="45" t="s">
        <v>372</v>
      </c>
      <c r="G410" s="45" t="s">
        <v>10</v>
      </c>
      <c r="H410" s="45" t="s">
        <v>795</v>
      </c>
    </row>
    <row r="411" spans="1:8">
      <c r="A411">
        <v>410</v>
      </c>
      <c r="B411" s="45" t="s">
        <v>482</v>
      </c>
      <c r="C411" s="46">
        <v>45338.603472222225</v>
      </c>
      <c r="D411" s="45" t="s">
        <v>142</v>
      </c>
      <c r="E411">
        <v>1</v>
      </c>
      <c r="F411" s="45" t="s">
        <v>374</v>
      </c>
      <c r="G411" s="45" t="s">
        <v>14</v>
      </c>
      <c r="H411" s="45" t="s">
        <v>796</v>
      </c>
    </row>
    <row r="412" spans="1:8">
      <c r="A412">
        <v>411</v>
      </c>
      <c r="B412" s="45" t="s">
        <v>483</v>
      </c>
      <c r="C412" s="46">
        <v>45338.607638888891</v>
      </c>
      <c r="D412" s="45" t="s">
        <v>26</v>
      </c>
      <c r="E412">
        <v>1</v>
      </c>
      <c r="F412" s="45" t="s">
        <v>484</v>
      </c>
      <c r="G412" s="45" t="s">
        <v>10</v>
      </c>
      <c r="H412" s="45" t="s">
        <v>795</v>
      </c>
    </row>
    <row r="413" spans="1:8">
      <c r="A413">
        <v>412</v>
      </c>
      <c r="B413" s="45" t="s">
        <v>485</v>
      </c>
      <c r="C413" s="46">
        <v>45338.612500000003</v>
      </c>
      <c r="D413" s="45" t="s">
        <v>28</v>
      </c>
      <c r="E413">
        <v>1</v>
      </c>
      <c r="F413" s="45" t="s">
        <v>486</v>
      </c>
      <c r="G413" s="45" t="s">
        <v>14</v>
      </c>
      <c r="H413" s="45" t="s">
        <v>796</v>
      </c>
    </row>
    <row r="414" spans="1:8">
      <c r="A414">
        <v>413</v>
      </c>
      <c r="B414" s="45" t="s">
        <v>487</v>
      </c>
      <c r="C414" s="46">
        <v>45338.616666666669</v>
      </c>
      <c r="D414" s="45" t="s">
        <v>54</v>
      </c>
      <c r="E414">
        <v>1</v>
      </c>
      <c r="F414" s="45" t="s">
        <v>488</v>
      </c>
      <c r="G414" s="45" t="s">
        <v>10</v>
      </c>
      <c r="H414" s="45" t="s">
        <v>795</v>
      </c>
    </row>
    <row r="415" spans="1:8">
      <c r="A415">
        <v>414</v>
      </c>
      <c r="B415" s="45" t="s">
        <v>489</v>
      </c>
      <c r="C415" s="46">
        <v>45338.621527777781</v>
      </c>
      <c r="D415" s="45" t="s">
        <v>48</v>
      </c>
      <c r="E415">
        <v>1</v>
      </c>
      <c r="F415" s="45" t="s">
        <v>490</v>
      </c>
      <c r="G415" s="45" t="s">
        <v>14</v>
      </c>
      <c r="H415" s="45" t="s">
        <v>796</v>
      </c>
    </row>
    <row r="416" spans="1:8">
      <c r="A416">
        <v>415</v>
      </c>
      <c r="B416" s="45" t="s">
        <v>491</v>
      </c>
      <c r="C416" s="46">
        <v>45338.625694444447</v>
      </c>
      <c r="D416" s="45" t="s">
        <v>166</v>
      </c>
      <c r="E416">
        <v>1</v>
      </c>
      <c r="F416" s="45" t="s">
        <v>492</v>
      </c>
      <c r="G416" s="45" t="s">
        <v>10</v>
      </c>
      <c r="H416" s="45" t="s">
        <v>795</v>
      </c>
    </row>
    <row r="417" spans="1:8">
      <c r="A417">
        <v>416</v>
      </c>
      <c r="B417" s="45" t="s">
        <v>493</v>
      </c>
      <c r="C417" s="46">
        <v>45338.630555555559</v>
      </c>
      <c r="D417" s="45" t="s">
        <v>34</v>
      </c>
      <c r="E417">
        <v>1</v>
      </c>
      <c r="F417" s="45" t="s">
        <v>494</v>
      </c>
      <c r="G417" s="45" t="s">
        <v>14</v>
      </c>
      <c r="H417" s="45" t="s">
        <v>796</v>
      </c>
    </row>
    <row r="418" spans="1:8">
      <c r="A418">
        <v>417</v>
      </c>
      <c r="B418" s="45" t="s">
        <v>495</v>
      </c>
      <c r="C418" s="46">
        <v>45338.634722222225</v>
      </c>
      <c r="D418" s="45" t="s">
        <v>42</v>
      </c>
      <c r="E418">
        <v>1</v>
      </c>
      <c r="F418" s="45" t="s">
        <v>496</v>
      </c>
      <c r="G418" s="45" t="s">
        <v>10</v>
      </c>
      <c r="H418" s="45" t="s">
        <v>795</v>
      </c>
    </row>
    <row r="419" spans="1:8">
      <c r="A419">
        <v>418</v>
      </c>
      <c r="B419" s="45" t="s">
        <v>497</v>
      </c>
      <c r="C419" s="46">
        <v>45338.63958333333</v>
      </c>
      <c r="D419" s="45" t="s">
        <v>12</v>
      </c>
      <c r="E419">
        <v>1</v>
      </c>
      <c r="F419" s="45" t="s">
        <v>498</v>
      </c>
      <c r="G419" s="45" t="s">
        <v>14</v>
      </c>
      <c r="H419" s="45" t="s">
        <v>796</v>
      </c>
    </row>
    <row r="420" spans="1:8">
      <c r="A420">
        <v>419</v>
      </c>
      <c r="B420" s="45" t="s">
        <v>499</v>
      </c>
      <c r="C420" s="46">
        <v>45338.648611111108</v>
      </c>
      <c r="D420" s="45" t="s">
        <v>54</v>
      </c>
      <c r="E420">
        <v>1</v>
      </c>
      <c r="F420" s="45" t="s">
        <v>295</v>
      </c>
      <c r="G420" s="45" t="s">
        <v>10</v>
      </c>
      <c r="H420" s="45" t="s">
        <v>795</v>
      </c>
    </row>
    <row r="421" spans="1:8">
      <c r="A421">
        <v>420</v>
      </c>
      <c r="B421" s="45" t="s">
        <v>500</v>
      </c>
      <c r="C421" s="46">
        <v>45338.662499999999</v>
      </c>
      <c r="D421" s="45" t="s">
        <v>48</v>
      </c>
      <c r="E421">
        <v>1</v>
      </c>
      <c r="F421" s="45" t="s">
        <v>501</v>
      </c>
      <c r="G421" s="45" t="s">
        <v>14</v>
      </c>
      <c r="H421" s="45" t="s">
        <v>796</v>
      </c>
    </row>
    <row r="422" spans="1:8">
      <c r="A422">
        <v>421</v>
      </c>
      <c r="B422" s="45" t="s">
        <v>502</v>
      </c>
      <c r="C422" s="46">
        <v>45338.676388888889</v>
      </c>
      <c r="D422" s="45" t="s">
        <v>28</v>
      </c>
      <c r="E422">
        <v>1</v>
      </c>
      <c r="F422" s="45" t="s">
        <v>503</v>
      </c>
      <c r="G422" s="45" t="s">
        <v>10</v>
      </c>
      <c r="H422" s="45" t="s">
        <v>795</v>
      </c>
    </row>
    <row r="423" spans="1:8">
      <c r="A423">
        <v>422</v>
      </c>
      <c r="B423" s="45" t="s">
        <v>504</v>
      </c>
      <c r="C423" s="46">
        <v>45338.69027777778</v>
      </c>
      <c r="D423" s="45" t="s">
        <v>34</v>
      </c>
      <c r="E423">
        <v>1</v>
      </c>
      <c r="F423" s="45" t="s">
        <v>505</v>
      </c>
      <c r="G423" s="45" t="s">
        <v>14</v>
      </c>
      <c r="H423" s="45" t="s">
        <v>796</v>
      </c>
    </row>
    <row r="424" spans="1:8">
      <c r="A424">
        <v>423</v>
      </c>
      <c r="B424" s="45" t="s">
        <v>506</v>
      </c>
      <c r="C424" s="46">
        <v>45338.70416666667</v>
      </c>
      <c r="D424" s="45" t="s">
        <v>24</v>
      </c>
      <c r="E424">
        <v>1</v>
      </c>
      <c r="F424" s="45" t="s">
        <v>507</v>
      </c>
      <c r="G424" s="45" t="s">
        <v>10</v>
      </c>
      <c r="H424" s="45" t="s">
        <v>795</v>
      </c>
    </row>
    <row r="425" spans="1:8">
      <c r="A425">
        <v>424</v>
      </c>
      <c r="B425" s="45" t="s">
        <v>508</v>
      </c>
      <c r="C425" s="46">
        <v>45338.708333333336</v>
      </c>
      <c r="D425" s="45" t="s">
        <v>12</v>
      </c>
      <c r="E425">
        <v>1</v>
      </c>
      <c r="F425" s="45" t="s">
        <v>419</v>
      </c>
      <c r="G425" s="45" t="s">
        <v>14</v>
      </c>
      <c r="H425" s="45" t="s">
        <v>796</v>
      </c>
    </row>
    <row r="426" spans="1:8">
      <c r="A426">
        <v>425</v>
      </c>
      <c r="B426" s="45" t="s">
        <v>509</v>
      </c>
      <c r="C426" s="46">
        <v>45339.293749999997</v>
      </c>
      <c r="D426" s="45" t="s">
        <v>24</v>
      </c>
      <c r="E426">
        <v>1</v>
      </c>
      <c r="F426" s="45" t="s">
        <v>510</v>
      </c>
      <c r="G426" s="45" t="s">
        <v>14</v>
      </c>
      <c r="H426" s="45" t="s">
        <v>796</v>
      </c>
    </row>
    <row r="427" spans="1:8">
      <c r="A427">
        <v>426</v>
      </c>
      <c r="B427" s="45" t="s">
        <v>511</v>
      </c>
      <c r="C427" s="46">
        <v>45339.297222222223</v>
      </c>
      <c r="D427" s="45" t="s">
        <v>67</v>
      </c>
      <c r="E427">
        <v>1</v>
      </c>
      <c r="F427" s="45" t="s">
        <v>512</v>
      </c>
      <c r="G427" s="45" t="s">
        <v>10</v>
      </c>
      <c r="H427" s="45" t="s">
        <v>795</v>
      </c>
    </row>
    <row r="428" spans="1:8">
      <c r="A428">
        <v>427</v>
      </c>
      <c r="B428" s="45" t="s">
        <v>511</v>
      </c>
      <c r="C428" s="46">
        <v>45339.297222222223</v>
      </c>
      <c r="D428" s="45" t="s">
        <v>36</v>
      </c>
      <c r="E428">
        <v>1</v>
      </c>
      <c r="F428" s="45" t="s">
        <v>512</v>
      </c>
      <c r="G428" s="45" t="s">
        <v>789</v>
      </c>
      <c r="H428" s="45" t="s">
        <v>797</v>
      </c>
    </row>
    <row r="429" spans="1:8">
      <c r="A429">
        <v>428</v>
      </c>
      <c r="B429" s="45" t="s">
        <v>513</v>
      </c>
      <c r="C429" s="46">
        <v>45339.300694444442</v>
      </c>
      <c r="D429" s="45" t="s">
        <v>56</v>
      </c>
      <c r="E429">
        <v>1</v>
      </c>
      <c r="F429" s="45" t="s">
        <v>514</v>
      </c>
      <c r="G429" s="45" t="s">
        <v>14</v>
      </c>
      <c r="H429" s="45" t="s">
        <v>796</v>
      </c>
    </row>
    <row r="430" spans="1:8">
      <c r="A430">
        <v>429</v>
      </c>
      <c r="B430" s="45" t="s">
        <v>515</v>
      </c>
      <c r="C430" s="46">
        <v>45339.304166666669</v>
      </c>
      <c r="D430" s="45" t="s">
        <v>160</v>
      </c>
      <c r="E430">
        <v>1</v>
      </c>
      <c r="F430" s="45" t="s">
        <v>320</v>
      </c>
      <c r="G430" s="45" t="s">
        <v>10</v>
      </c>
      <c r="H430" s="45" t="s">
        <v>795</v>
      </c>
    </row>
    <row r="431" spans="1:8">
      <c r="A431">
        <v>430</v>
      </c>
      <c r="B431" s="45" t="s">
        <v>515</v>
      </c>
      <c r="C431" s="46">
        <v>45339.304166666669</v>
      </c>
      <c r="D431" s="45" t="s">
        <v>30</v>
      </c>
      <c r="E431">
        <v>1</v>
      </c>
      <c r="F431" s="45" t="s">
        <v>320</v>
      </c>
      <c r="G431" s="45" t="s">
        <v>789</v>
      </c>
      <c r="H431" s="45" t="s">
        <v>797</v>
      </c>
    </row>
    <row r="432" spans="1:8">
      <c r="A432">
        <v>431</v>
      </c>
      <c r="B432" s="45" t="s">
        <v>516</v>
      </c>
      <c r="C432" s="46">
        <v>45339.307638888888</v>
      </c>
      <c r="D432" s="45" t="s">
        <v>48</v>
      </c>
      <c r="E432">
        <v>1</v>
      </c>
      <c r="F432" s="45" t="s">
        <v>322</v>
      </c>
      <c r="G432" s="45" t="s">
        <v>14</v>
      </c>
      <c r="H432" s="45" t="s">
        <v>796</v>
      </c>
    </row>
    <row r="433" spans="1:8">
      <c r="A433">
        <v>432</v>
      </c>
      <c r="B433" s="45" t="s">
        <v>517</v>
      </c>
      <c r="C433" s="46">
        <v>45339.311111111114</v>
      </c>
      <c r="D433" s="45" t="s">
        <v>12</v>
      </c>
      <c r="E433">
        <v>1</v>
      </c>
      <c r="F433" s="45" t="s">
        <v>360</v>
      </c>
      <c r="G433" s="45" t="s">
        <v>10</v>
      </c>
      <c r="H433" s="45" t="s">
        <v>795</v>
      </c>
    </row>
    <row r="434" spans="1:8">
      <c r="A434">
        <v>433</v>
      </c>
      <c r="B434" s="45" t="s">
        <v>517</v>
      </c>
      <c r="C434" s="46">
        <v>45339.311111111114</v>
      </c>
      <c r="D434" s="45" t="s">
        <v>45</v>
      </c>
      <c r="E434">
        <v>1</v>
      </c>
      <c r="F434" s="45" t="s">
        <v>360</v>
      </c>
      <c r="G434" s="45" t="s">
        <v>789</v>
      </c>
      <c r="H434" s="45" t="s">
        <v>797</v>
      </c>
    </row>
    <row r="435" spans="1:8">
      <c r="A435">
        <v>434</v>
      </c>
      <c r="B435" s="45" t="s">
        <v>518</v>
      </c>
      <c r="C435" s="46">
        <v>45339.31527777778</v>
      </c>
      <c r="D435" s="45" t="s">
        <v>54</v>
      </c>
      <c r="E435">
        <v>1</v>
      </c>
      <c r="F435" s="45" t="s">
        <v>362</v>
      </c>
      <c r="G435" s="45" t="s">
        <v>14</v>
      </c>
      <c r="H435" s="45" t="s">
        <v>796</v>
      </c>
    </row>
    <row r="436" spans="1:8">
      <c r="A436">
        <v>435</v>
      </c>
      <c r="B436" s="45" t="s">
        <v>519</v>
      </c>
      <c r="C436" s="46">
        <v>45339.318749999999</v>
      </c>
      <c r="D436" s="45" t="s">
        <v>28</v>
      </c>
      <c r="E436">
        <v>1</v>
      </c>
      <c r="F436" s="45" t="s">
        <v>364</v>
      </c>
      <c r="G436" s="45" t="s">
        <v>10</v>
      </c>
      <c r="H436" s="45" t="s">
        <v>795</v>
      </c>
    </row>
    <row r="437" spans="1:8">
      <c r="A437">
        <v>436</v>
      </c>
      <c r="B437" s="45" t="s">
        <v>520</v>
      </c>
      <c r="C437" s="46">
        <v>45339.322222222225</v>
      </c>
      <c r="D437" s="45" t="s">
        <v>52</v>
      </c>
      <c r="E437">
        <v>1</v>
      </c>
      <c r="F437" s="45" t="s">
        <v>366</v>
      </c>
      <c r="G437" s="45" t="s">
        <v>14</v>
      </c>
      <c r="H437" s="45" t="s">
        <v>796</v>
      </c>
    </row>
    <row r="438" spans="1:8">
      <c r="A438">
        <v>437</v>
      </c>
      <c r="B438" s="45" t="s">
        <v>520</v>
      </c>
      <c r="C438" s="46">
        <v>45339.322222222225</v>
      </c>
      <c r="D438" s="45" t="s">
        <v>34</v>
      </c>
      <c r="E438">
        <v>1</v>
      </c>
      <c r="F438" s="45" t="s">
        <v>366</v>
      </c>
      <c r="G438" s="45" t="s">
        <v>789</v>
      </c>
      <c r="H438" s="45" t="s">
        <v>797</v>
      </c>
    </row>
    <row r="439" spans="1:8">
      <c r="A439">
        <v>438</v>
      </c>
      <c r="B439" s="45" t="s">
        <v>521</v>
      </c>
      <c r="C439" s="46">
        <v>45339.325694444444</v>
      </c>
      <c r="D439" s="45" t="s">
        <v>153</v>
      </c>
      <c r="E439">
        <v>1</v>
      </c>
      <c r="F439" s="45" t="s">
        <v>437</v>
      </c>
      <c r="G439" s="45" t="s">
        <v>10</v>
      </c>
      <c r="H439" s="45" t="s">
        <v>795</v>
      </c>
    </row>
    <row r="440" spans="1:8">
      <c r="A440">
        <v>439</v>
      </c>
      <c r="B440" s="45" t="s">
        <v>522</v>
      </c>
      <c r="C440" s="46">
        <v>45339.32916666667</v>
      </c>
      <c r="D440" s="45" t="s">
        <v>42</v>
      </c>
      <c r="E440">
        <v>1</v>
      </c>
      <c r="F440" s="45" t="s">
        <v>523</v>
      </c>
      <c r="G440" s="45" t="s">
        <v>14</v>
      </c>
      <c r="H440" s="45" t="s">
        <v>796</v>
      </c>
    </row>
    <row r="441" spans="1:8">
      <c r="A441">
        <v>440</v>
      </c>
      <c r="B441" s="45" t="s">
        <v>524</v>
      </c>
      <c r="C441" s="46">
        <v>45339.332638888889</v>
      </c>
      <c r="D441" s="45" t="s">
        <v>26</v>
      </c>
      <c r="E441">
        <v>1</v>
      </c>
      <c r="F441" s="45" t="s">
        <v>525</v>
      </c>
      <c r="G441" s="45" t="s">
        <v>10</v>
      </c>
      <c r="H441" s="45" t="s">
        <v>795</v>
      </c>
    </row>
    <row r="442" spans="1:8">
      <c r="A442">
        <v>441</v>
      </c>
      <c r="B442" s="45" t="s">
        <v>524</v>
      </c>
      <c r="C442" s="46">
        <v>45339.332638888889</v>
      </c>
      <c r="D442" s="45" t="s">
        <v>8</v>
      </c>
      <c r="E442">
        <v>1</v>
      </c>
      <c r="F442" s="45" t="s">
        <v>525</v>
      </c>
      <c r="G442" s="45" t="s">
        <v>789</v>
      </c>
      <c r="H442" s="45" t="s">
        <v>797</v>
      </c>
    </row>
    <row r="443" spans="1:8">
      <c r="A443">
        <v>442</v>
      </c>
      <c r="B443" s="45" t="s">
        <v>526</v>
      </c>
      <c r="C443" s="46">
        <v>45339.336111111108</v>
      </c>
      <c r="D443" s="45" t="s">
        <v>38</v>
      </c>
      <c r="E443">
        <v>1</v>
      </c>
      <c r="F443" s="45" t="s">
        <v>287</v>
      </c>
      <c r="G443" s="45" t="s">
        <v>14</v>
      </c>
      <c r="H443" s="45" t="s">
        <v>796</v>
      </c>
    </row>
    <row r="444" spans="1:8">
      <c r="A444">
        <v>443</v>
      </c>
      <c r="B444" s="45" t="s">
        <v>527</v>
      </c>
      <c r="C444" s="46">
        <v>45339.340277777781</v>
      </c>
      <c r="D444" s="45" t="s">
        <v>21</v>
      </c>
      <c r="E444">
        <v>1</v>
      </c>
      <c r="F444" s="45" t="s">
        <v>528</v>
      </c>
      <c r="G444" s="45" t="s">
        <v>10</v>
      </c>
      <c r="H444" s="45" t="s">
        <v>795</v>
      </c>
    </row>
    <row r="445" spans="1:8">
      <c r="A445">
        <v>444</v>
      </c>
      <c r="B445" s="45" t="s">
        <v>529</v>
      </c>
      <c r="C445" s="46">
        <v>45339.34375</v>
      </c>
      <c r="D445" s="45" t="s">
        <v>32</v>
      </c>
      <c r="E445">
        <v>1</v>
      </c>
      <c r="F445" s="45" t="s">
        <v>530</v>
      </c>
      <c r="G445" s="45" t="s">
        <v>14</v>
      </c>
      <c r="H445" s="45" t="s">
        <v>796</v>
      </c>
    </row>
    <row r="446" spans="1:8">
      <c r="A446">
        <v>445</v>
      </c>
      <c r="B446" s="45" t="s">
        <v>529</v>
      </c>
      <c r="C446" s="46">
        <v>45339.34375</v>
      </c>
      <c r="D446" s="45" t="s">
        <v>50</v>
      </c>
      <c r="E446">
        <v>1</v>
      </c>
      <c r="F446" s="45" t="s">
        <v>530</v>
      </c>
      <c r="G446" s="45" t="s">
        <v>789</v>
      </c>
      <c r="H446" s="45" t="s">
        <v>797</v>
      </c>
    </row>
    <row r="447" spans="1:8">
      <c r="A447">
        <v>446</v>
      </c>
      <c r="B447" s="45" t="s">
        <v>531</v>
      </c>
      <c r="C447" s="46">
        <v>45339.347222222219</v>
      </c>
      <c r="D447" s="45" t="s">
        <v>123</v>
      </c>
      <c r="E447">
        <v>1</v>
      </c>
      <c r="F447" s="45" t="s">
        <v>532</v>
      </c>
      <c r="G447" s="45" t="s">
        <v>10</v>
      </c>
      <c r="H447" s="45" t="s">
        <v>795</v>
      </c>
    </row>
    <row r="448" spans="1:8">
      <c r="A448">
        <v>447</v>
      </c>
      <c r="B448" s="45" t="s">
        <v>533</v>
      </c>
      <c r="C448" s="46">
        <v>45339.350694444445</v>
      </c>
      <c r="D448" s="45" t="s">
        <v>166</v>
      </c>
      <c r="E448">
        <v>1</v>
      </c>
      <c r="F448" s="45" t="s">
        <v>490</v>
      </c>
      <c r="G448" s="45" t="s">
        <v>14</v>
      </c>
      <c r="H448" s="45" t="s">
        <v>796</v>
      </c>
    </row>
    <row r="449" spans="1:8">
      <c r="A449">
        <v>448</v>
      </c>
      <c r="B449" s="45" t="s">
        <v>534</v>
      </c>
      <c r="C449" s="46">
        <v>45339.354166666664</v>
      </c>
      <c r="D449" s="45" t="s">
        <v>110</v>
      </c>
      <c r="E449">
        <v>1</v>
      </c>
      <c r="F449" s="45" t="s">
        <v>535</v>
      </c>
      <c r="G449" s="45" t="s">
        <v>10</v>
      </c>
      <c r="H449" s="45" t="s">
        <v>795</v>
      </c>
    </row>
    <row r="450" spans="1:8">
      <c r="A450">
        <v>449</v>
      </c>
      <c r="B450" s="45" t="s">
        <v>534</v>
      </c>
      <c r="C450" s="46">
        <v>45339.354166666664</v>
      </c>
      <c r="D450" s="45" t="s">
        <v>18</v>
      </c>
      <c r="E450">
        <v>1</v>
      </c>
      <c r="F450" s="45" t="s">
        <v>535</v>
      </c>
      <c r="G450" s="45" t="s">
        <v>789</v>
      </c>
      <c r="H450" s="45" t="s">
        <v>797</v>
      </c>
    </row>
    <row r="451" spans="1:8">
      <c r="A451">
        <v>450</v>
      </c>
      <c r="B451" s="45" t="s">
        <v>536</v>
      </c>
      <c r="C451" s="46">
        <v>45339.357638888891</v>
      </c>
      <c r="D451" s="45" t="s">
        <v>59</v>
      </c>
      <c r="E451">
        <v>1</v>
      </c>
      <c r="F451" s="45" t="s">
        <v>537</v>
      </c>
      <c r="G451" s="45" t="s">
        <v>14</v>
      </c>
      <c r="H451" s="45" t="s">
        <v>796</v>
      </c>
    </row>
    <row r="452" spans="1:8">
      <c r="A452">
        <v>451</v>
      </c>
      <c r="B452" s="45" t="s">
        <v>538</v>
      </c>
      <c r="C452" s="46">
        <v>45339.361111111109</v>
      </c>
      <c r="D452" s="45" t="s">
        <v>142</v>
      </c>
      <c r="E452">
        <v>1</v>
      </c>
      <c r="F452" s="45" t="s">
        <v>539</v>
      </c>
      <c r="G452" s="45" t="s">
        <v>10</v>
      </c>
      <c r="H452" s="45" t="s">
        <v>795</v>
      </c>
    </row>
    <row r="453" spans="1:8">
      <c r="A453">
        <v>452</v>
      </c>
      <c r="B453" s="45" t="s">
        <v>540</v>
      </c>
      <c r="C453" s="46">
        <v>45339.364583333336</v>
      </c>
      <c r="D453" s="45" t="s">
        <v>89</v>
      </c>
      <c r="E453">
        <v>1</v>
      </c>
      <c r="F453" s="45" t="s">
        <v>498</v>
      </c>
      <c r="G453" s="45" t="s">
        <v>14</v>
      </c>
      <c r="H453" s="45" t="s">
        <v>796</v>
      </c>
    </row>
    <row r="454" spans="1:8">
      <c r="A454">
        <v>453</v>
      </c>
      <c r="B454" s="45" t="s">
        <v>541</v>
      </c>
      <c r="C454" s="46">
        <v>45339.368750000001</v>
      </c>
      <c r="D454" s="45" t="s">
        <v>45</v>
      </c>
      <c r="E454">
        <v>1</v>
      </c>
      <c r="F454" s="45" t="s">
        <v>459</v>
      </c>
      <c r="G454" s="45" t="s">
        <v>10</v>
      </c>
      <c r="H454" s="45" t="s">
        <v>795</v>
      </c>
    </row>
    <row r="455" spans="1:8">
      <c r="A455">
        <v>454</v>
      </c>
      <c r="B455" s="45" t="s">
        <v>541</v>
      </c>
      <c r="C455" s="46">
        <v>45339.368750000001</v>
      </c>
      <c r="D455" s="45" t="s">
        <v>36</v>
      </c>
      <c r="E455">
        <v>1</v>
      </c>
      <c r="F455" s="45" t="s">
        <v>459</v>
      </c>
      <c r="G455" s="45" t="s">
        <v>789</v>
      </c>
      <c r="H455" s="45" t="s">
        <v>797</v>
      </c>
    </row>
    <row r="456" spans="1:8">
      <c r="A456">
        <v>455</v>
      </c>
      <c r="B456" s="45" t="s">
        <v>542</v>
      </c>
      <c r="C456" s="46">
        <v>45339.37222222222</v>
      </c>
      <c r="D456" s="45" t="s">
        <v>24</v>
      </c>
      <c r="E456">
        <v>1</v>
      </c>
      <c r="F456" s="45" t="s">
        <v>543</v>
      </c>
      <c r="G456" s="45" t="s">
        <v>14</v>
      </c>
      <c r="H456" s="45" t="s">
        <v>796</v>
      </c>
    </row>
    <row r="457" spans="1:8">
      <c r="A457">
        <v>456</v>
      </c>
      <c r="B457" s="45" t="s">
        <v>544</v>
      </c>
      <c r="C457" s="46">
        <v>45339.375694444447</v>
      </c>
      <c r="D457" s="45" t="s">
        <v>67</v>
      </c>
      <c r="E457">
        <v>1</v>
      </c>
      <c r="F457" s="45" t="s">
        <v>545</v>
      </c>
      <c r="G457" s="45" t="s">
        <v>10</v>
      </c>
      <c r="H457" s="45" t="s">
        <v>795</v>
      </c>
    </row>
    <row r="458" spans="1:8">
      <c r="A458">
        <v>457</v>
      </c>
      <c r="B458" s="45" t="s">
        <v>546</v>
      </c>
      <c r="C458" s="46">
        <v>45339.379166666666</v>
      </c>
      <c r="D458" s="45" t="s">
        <v>56</v>
      </c>
      <c r="E458">
        <v>1</v>
      </c>
      <c r="F458" s="45" t="s">
        <v>547</v>
      </c>
      <c r="G458" s="45" t="s">
        <v>14</v>
      </c>
      <c r="H458" s="45" t="s">
        <v>796</v>
      </c>
    </row>
    <row r="459" spans="1:8">
      <c r="A459">
        <v>458</v>
      </c>
      <c r="B459" s="45" t="s">
        <v>546</v>
      </c>
      <c r="C459" s="46">
        <v>45339.379166666666</v>
      </c>
      <c r="D459" s="45" t="s">
        <v>30</v>
      </c>
      <c r="E459">
        <v>1</v>
      </c>
      <c r="F459" s="45" t="s">
        <v>547</v>
      </c>
      <c r="G459" s="45" t="s">
        <v>789</v>
      </c>
      <c r="H459" s="45" t="s">
        <v>797</v>
      </c>
    </row>
    <row r="460" spans="1:8">
      <c r="A460">
        <v>459</v>
      </c>
      <c r="B460" s="45" t="s">
        <v>548</v>
      </c>
      <c r="C460" s="46">
        <v>45339.382638888892</v>
      </c>
      <c r="D460" s="45" t="s">
        <v>48</v>
      </c>
      <c r="E460">
        <v>1</v>
      </c>
      <c r="F460" s="45" t="s">
        <v>549</v>
      </c>
      <c r="G460" s="45" t="s">
        <v>10</v>
      </c>
      <c r="H460" s="45" t="s">
        <v>795</v>
      </c>
    </row>
    <row r="461" spans="1:8">
      <c r="A461">
        <v>460</v>
      </c>
      <c r="B461" s="45" t="s">
        <v>550</v>
      </c>
      <c r="C461" s="46">
        <v>45339.386111111111</v>
      </c>
      <c r="D461" s="45" t="s">
        <v>160</v>
      </c>
      <c r="E461">
        <v>1</v>
      </c>
      <c r="F461" s="45" t="s">
        <v>137</v>
      </c>
      <c r="G461" s="45" t="s">
        <v>14</v>
      </c>
      <c r="H461" s="45" t="s">
        <v>796</v>
      </c>
    </row>
    <row r="462" spans="1:8">
      <c r="A462">
        <v>461</v>
      </c>
      <c r="B462" s="45" t="s">
        <v>551</v>
      </c>
      <c r="C462" s="46">
        <v>45339.38958333333</v>
      </c>
      <c r="D462" s="45" t="s">
        <v>52</v>
      </c>
      <c r="E462">
        <v>1</v>
      </c>
      <c r="F462" s="45" t="s">
        <v>552</v>
      </c>
      <c r="G462" s="45" t="s">
        <v>10</v>
      </c>
      <c r="H462" s="45" t="s">
        <v>795</v>
      </c>
    </row>
    <row r="463" spans="1:8">
      <c r="A463">
        <v>462</v>
      </c>
      <c r="B463" s="45" t="s">
        <v>553</v>
      </c>
      <c r="C463" s="46">
        <v>45339.393750000003</v>
      </c>
      <c r="D463" s="45" t="s">
        <v>34</v>
      </c>
      <c r="E463">
        <v>1</v>
      </c>
      <c r="F463" s="45" t="s">
        <v>427</v>
      </c>
      <c r="G463" s="45" t="s">
        <v>14</v>
      </c>
      <c r="H463" s="45" t="s">
        <v>796</v>
      </c>
    </row>
    <row r="464" spans="1:8">
      <c r="A464">
        <v>463</v>
      </c>
      <c r="B464" s="45" t="s">
        <v>553</v>
      </c>
      <c r="C464" s="46">
        <v>45339.393750000003</v>
      </c>
      <c r="D464" s="45" t="s">
        <v>54</v>
      </c>
      <c r="E464">
        <v>1</v>
      </c>
      <c r="F464" s="45" t="s">
        <v>427</v>
      </c>
      <c r="G464" s="45" t="s">
        <v>789</v>
      </c>
      <c r="H464" s="45" t="s">
        <v>797</v>
      </c>
    </row>
    <row r="465" spans="1:8">
      <c r="A465">
        <v>464</v>
      </c>
      <c r="B465" s="45" t="s">
        <v>554</v>
      </c>
      <c r="C465" s="46">
        <v>45339.397222222222</v>
      </c>
      <c r="D465" s="45" t="s">
        <v>28</v>
      </c>
      <c r="E465">
        <v>1</v>
      </c>
      <c r="F465" s="45" t="s">
        <v>555</v>
      </c>
      <c r="G465" s="45" t="s">
        <v>10</v>
      </c>
      <c r="H465" s="45" t="s">
        <v>795</v>
      </c>
    </row>
    <row r="466" spans="1:8">
      <c r="A466">
        <v>465</v>
      </c>
      <c r="B466" s="45" t="s">
        <v>556</v>
      </c>
      <c r="C466" s="46">
        <v>45339.400694444441</v>
      </c>
      <c r="D466" s="45" t="s">
        <v>38</v>
      </c>
      <c r="E466">
        <v>1</v>
      </c>
      <c r="F466" s="45" t="s">
        <v>557</v>
      </c>
      <c r="G466" s="45" t="s">
        <v>14</v>
      </c>
      <c r="H466" s="45" t="s">
        <v>796</v>
      </c>
    </row>
    <row r="467" spans="1:8">
      <c r="A467">
        <v>466</v>
      </c>
      <c r="B467" s="45" t="s">
        <v>558</v>
      </c>
      <c r="C467" s="46">
        <v>45339.404166666667</v>
      </c>
      <c r="D467" s="45" t="s">
        <v>153</v>
      </c>
      <c r="E467">
        <v>1</v>
      </c>
      <c r="F467" s="45" t="s">
        <v>559</v>
      </c>
      <c r="G467" s="45" t="s">
        <v>10</v>
      </c>
      <c r="H467" s="45" t="s">
        <v>795</v>
      </c>
    </row>
    <row r="468" spans="1:8">
      <c r="A468">
        <v>467</v>
      </c>
      <c r="B468" s="45" t="s">
        <v>560</v>
      </c>
      <c r="C468" s="46">
        <v>45339.407638888886</v>
      </c>
      <c r="D468" s="45" t="s">
        <v>42</v>
      </c>
      <c r="E468">
        <v>1</v>
      </c>
      <c r="F468" s="45" t="s">
        <v>561</v>
      </c>
      <c r="G468" s="45" t="s">
        <v>14</v>
      </c>
      <c r="H468" s="45" t="s">
        <v>796</v>
      </c>
    </row>
    <row r="469" spans="1:8">
      <c r="A469">
        <v>468</v>
      </c>
      <c r="B469" s="45" t="s">
        <v>562</v>
      </c>
      <c r="C469" s="46">
        <v>45339.411111111112</v>
      </c>
      <c r="D469" s="45" t="s">
        <v>26</v>
      </c>
      <c r="E469">
        <v>1</v>
      </c>
      <c r="F469" s="45" t="s">
        <v>563</v>
      </c>
      <c r="G469" s="45" t="s">
        <v>10</v>
      </c>
      <c r="H469" s="45" t="s">
        <v>795</v>
      </c>
    </row>
    <row r="470" spans="1:8">
      <c r="A470">
        <v>469</v>
      </c>
      <c r="B470" s="45" t="s">
        <v>562</v>
      </c>
      <c r="C470" s="46">
        <v>45339.411111111112</v>
      </c>
      <c r="D470" s="45" t="s">
        <v>21</v>
      </c>
      <c r="E470">
        <v>1</v>
      </c>
      <c r="F470" s="45" t="s">
        <v>563</v>
      </c>
      <c r="G470" s="45" t="s">
        <v>789</v>
      </c>
      <c r="H470" s="45" t="s">
        <v>797</v>
      </c>
    </row>
    <row r="471" spans="1:8">
      <c r="A471">
        <v>470</v>
      </c>
      <c r="B471" s="45" t="s">
        <v>564</v>
      </c>
      <c r="C471" s="46">
        <v>45339.414583333331</v>
      </c>
      <c r="D471" s="45" t="s">
        <v>8</v>
      </c>
      <c r="E471">
        <v>1</v>
      </c>
      <c r="F471" s="45" t="s">
        <v>366</v>
      </c>
      <c r="G471" s="45" t="s">
        <v>14</v>
      </c>
      <c r="H471" s="45" t="s">
        <v>796</v>
      </c>
    </row>
    <row r="472" spans="1:8">
      <c r="A472">
        <v>471</v>
      </c>
      <c r="B472" s="45" t="s">
        <v>564</v>
      </c>
      <c r="C472" s="46">
        <v>45339.422222222223</v>
      </c>
      <c r="D472" s="45" t="s">
        <v>26</v>
      </c>
      <c r="E472">
        <v>1</v>
      </c>
      <c r="F472" s="45" t="s">
        <v>434</v>
      </c>
      <c r="G472" s="45" t="s">
        <v>789</v>
      </c>
      <c r="H472" s="45" t="s">
        <v>797</v>
      </c>
    </row>
    <row r="473" spans="1:8">
      <c r="A473">
        <v>472</v>
      </c>
      <c r="B473" s="45" t="s">
        <v>565</v>
      </c>
      <c r="C473" s="46">
        <v>45339.433333333334</v>
      </c>
      <c r="D473" s="45" t="s">
        <v>21</v>
      </c>
      <c r="E473">
        <v>1</v>
      </c>
      <c r="F473" s="45" t="s">
        <v>9</v>
      </c>
      <c r="G473" s="45" t="s">
        <v>14</v>
      </c>
      <c r="H473" s="45" t="s">
        <v>796</v>
      </c>
    </row>
    <row r="474" spans="1:8">
      <c r="A474">
        <v>473</v>
      </c>
      <c r="B474" s="45" t="s">
        <v>565</v>
      </c>
      <c r="C474" s="46">
        <v>45339.433333333334</v>
      </c>
      <c r="D474" s="45" t="s">
        <v>8</v>
      </c>
      <c r="E474">
        <v>1</v>
      </c>
      <c r="F474" s="45" t="s">
        <v>9</v>
      </c>
      <c r="G474" s="45" t="s">
        <v>789</v>
      </c>
      <c r="H474" s="45" t="s">
        <v>797</v>
      </c>
    </row>
    <row r="475" spans="1:8">
      <c r="A475">
        <v>474</v>
      </c>
      <c r="B475" s="45" t="s">
        <v>566</v>
      </c>
      <c r="C475" s="46">
        <v>45339.444444444445</v>
      </c>
      <c r="D475" s="45" t="s">
        <v>59</v>
      </c>
      <c r="E475">
        <v>1</v>
      </c>
      <c r="F475" s="45" t="s">
        <v>43</v>
      </c>
      <c r="G475" s="45" t="s">
        <v>10</v>
      </c>
      <c r="H475" s="45" t="s">
        <v>795</v>
      </c>
    </row>
    <row r="476" spans="1:8">
      <c r="A476">
        <v>475</v>
      </c>
      <c r="B476" s="45" t="s">
        <v>567</v>
      </c>
      <c r="C476" s="46">
        <v>45339.455555555556</v>
      </c>
      <c r="D476" s="45" t="s">
        <v>123</v>
      </c>
      <c r="E476">
        <v>1</v>
      </c>
      <c r="F476" s="45" t="s">
        <v>568</v>
      </c>
      <c r="G476" s="45" t="s">
        <v>14</v>
      </c>
      <c r="H476" s="45" t="s">
        <v>796</v>
      </c>
    </row>
    <row r="477" spans="1:8">
      <c r="A477">
        <v>476</v>
      </c>
      <c r="B477" s="45" t="s">
        <v>569</v>
      </c>
      <c r="C477" s="46">
        <v>45339.466666666667</v>
      </c>
      <c r="D477" s="45" t="s">
        <v>28</v>
      </c>
      <c r="E477">
        <v>1</v>
      </c>
      <c r="F477" s="45" t="s">
        <v>328</v>
      </c>
      <c r="G477" s="45" t="s">
        <v>10</v>
      </c>
      <c r="H477" s="45" t="s">
        <v>795</v>
      </c>
    </row>
    <row r="478" spans="1:8">
      <c r="A478">
        <v>477</v>
      </c>
      <c r="B478" s="45" t="s">
        <v>570</v>
      </c>
      <c r="C478" s="46">
        <v>45339.477777777778</v>
      </c>
      <c r="D478" s="45" t="s">
        <v>153</v>
      </c>
      <c r="E478">
        <v>1</v>
      </c>
      <c r="F478" s="45" t="s">
        <v>330</v>
      </c>
      <c r="G478" s="45" t="s">
        <v>14</v>
      </c>
      <c r="H478" s="45" t="s">
        <v>796</v>
      </c>
    </row>
    <row r="479" spans="1:8">
      <c r="A479">
        <v>478</v>
      </c>
      <c r="B479" s="45" t="s">
        <v>571</v>
      </c>
      <c r="C479" s="46">
        <v>45339.488888888889</v>
      </c>
      <c r="D479" s="45" t="s">
        <v>110</v>
      </c>
      <c r="E479">
        <v>1</v>
      </c>
      <c r="F479" s="45" t="s">
        <v>332</v>
      </c>
      <c r="G479" s="45" t="s">
        <v>10</v>
      </c>
      <c r="H479" s="45" t="s">
        <v>795</v>
      </c>
    </row>
    <row r="480" spans="1:8">
      <c r="A480">
        <v>479</v>
      </c>
      <c r="B480" s="45" t="s">
        <v>572</v>
      </c>
      <c r="C480" s="46">
        <v>45339.5</v>
      </c>
      <c r="D480" s="45" t="s">
        <v>50</v>
      </c>
      <c r="E480">
        <v>1</v>
      </c>
      <c r="F480" s="45" t="s">
        <v>334</v>
      </c>
      <c r="G480" s="45" t="s">
        <v>14</v>
      </c>
      <c r="H480" s="45" t="s">
        <v>796</v>
      </c>
    </row>
    <row r="481" spans="1:8">
      <c r="A481">
        <v>480</v>
      </c>
      <c r="B481" s="45" t="s">
        <v>573</v>
      </c>
      <c r="C481" s="46">
        <v>45339.511111111111</v>
      </c>
      <c r="D481" s="45" t="s">
        <v>67</v>
      </c>
      <c r="E481">
        <v>1</v>
      </c>
      <c r="F481" s="45" t="s">
        <v>574</v>
      </c>
      <c r="G481" s="45" t="s">
        <v>10</v>
      </c>
      <c r="H481" s="45" t="s">
        <v>795</v>
      </c>
    </row>
    <row r="482" spans="1:8">
      <c r="A482">
        <v>481</v>
      </c>
      <c r="B482" s="45" t="s">
        <v>575</v>
      </c>
      <c r="C482" s="46">
        <v>45339.5</v>
      </c>
      <c r="D482" s="45" t="s">
        <v>54</v>
      </c>
      <c r="E482">
        <v>1</v>
      </c>
      <c r="F482" s="45" t="s">
        <v>381</v>
      </c>
      <c r="G482" s="45" t="s">
        <v>14</v>
      </c>
      <c r="H482" s="45" t="s">
        <v>796</v>
      </c>
    </row>
    <row r="483" spans="1:8">
      <c r="A483">
        <v>482</v>
      </c>
      <c r="B483" s="45" t="s">
        <v>576</v>
      </c>
      <c r="C483" s="46">
        <v>45339.504861111112</v>
      </c>
      <c r="D483" s="45" t="s">
        <v>56</v>
      </c>
      <c r="E483">
        <v>1</v>
      </c>
      <c r="F483" s="45" t="s">
        <v>452</v>
      </c>
      <c r="G483" s="45" t="s">
        <v>10</v>
      </c>
      <c r="H483" s="45" t="s">
        <v>795</v>
      </c>
    </row>
    <row r="484" spans="1:8">
      <c r="A484">
        <v>483</v>
      </c>
      <c r="B484" s="45" t="s">
        <v>576</v>
      </c>
      <c r="C484" s="46">
        <v>45339.504861111112</v>
      </c>
      <c r="D484" s="45" t="s">
        <v>32</v>
      </c>
      <c r="E484">
        <v>1</v>
      </c>
      <c r="F484" s="45" t="s">
        <v>452</v>
      </c>
      <c r="G484" s="45" t="s">
        <v>789</v>
      </c>
      <c r="H484" s="45" t="s">
        <v>797</v>
      </c>
    </row>
    <row r="485" spans="1:8">
      <c r="A485">
        <v>484</v>
      </c>
      <c r="B485" s="45" t="s">
        <v>577</v>
      </c>
      <c r="C485" s="46">
        <v>45339.509722222225</v>
      </c>
      <c r="D485" s="45" t="s">
        <v>34</v>
      </c>
      <c r="E485">
        <v>1</v>
      </c>
      <c r="F485" s="45" t="s">
        <v>454</v>
      </c>
      <c r="G485" s="45" t="s">
        <v>14</v>
      </c>
      <c r="H485" s="45" t="s">
        <v>796</v>
      </c>
    </row>
    <row r="486" spans="1:8">
      <c r="A486">
        <v>485</v>
      </c>
      <c r="B486" s="45" t="s">
        <v>578</v>
      </c>
      <c r="C486" s="46">
        <v>45339.51458333333</v>
      </c>
      <c r="D486" s="45" t="s">
        <v>38</v>
      </c>
      <c r="E486">
        <v>1</v>
      </c>
      <c r="F486" s="45" t="s">
        <v>343</v>
      </c>
      <c r="G486" s="45" t="s">
        <v>10</v>
      </c>
      <c r="H486" s="45" t="s">
        <v>795</v>
      </c>
    </row>
    <row r="487" spans="1:8">
      <c r="A487">
        <v>486</v>
      </c>
      <c r="B487" s="45" t="s">
        <v>579</v>
      </c>
      <c r="C487" s="46">
        <v>45339.519444444442</v>
      </c>
      <c r="D487" s="45" t="s">
        <v>36</v>
      </c>
      <c r="E487">
        <v>1</v>
      </c>
      <c r="F487" s="45" t="s">
        <v>345</v>
      </c>
      <c r="G487" s="45" t="s">
        <v>14</v>
      </c>
      <c r="H487" s="45" t="s">
        <v>796</v>
      </c>
    </row>
    <row r="488" spans="1:8">
      <c r="A488">
        <v>487</v>
      </c>
      <c r="B488" s="45" t="s">
        <v>579</v>
      </c>
      <c r="C488" s="46">
        <v>45339.519444444442</v>
      </c>
      <c r="D488" s="45" t="s">
        <v>166</v>
      </c>
      <c r="E488">
        <v>1</v>
      </c>
      <c r="F488" s="45" t="s">
        <v>345</v>
      </c>
      <c r="G488" s="45" t="s">
        <v>789</v>
      </c>
      <c r="H488" s="45" t="s">
        <v>797</v>
      </c>
    </row>
    <row r="489" spans="1:8">
      <c r="A489">
        <v>488</v>
      </c>
      <c r="B489" s="45" t="s">
        <v>580</v>
      </c>
      <c r="C489" s="46">
        <v>45339.524305555555</v>
      </c>
      <c r="D489" s="45" t="s">
        <v>48</v>
      </c>
      <c r="E489">
        <v>1</v>
      </c>
      <c r="F489" s="45" t="s">
        <v>347</v>
      </c>
      <c r="G489" s="45" t="s">
        <v>10</v>
      </c>
      <c r="H489" s="45" t="s">
        <v>795</v>
      </c>
    </row>
    <row r="490" spans="1:8">
      <c r="A490">
        <v>489</v>
      </c>
      <c r="B490" s="45" t="s">
        <v>581</v>
      </c>
      <c r="C490" s="46">
        <v>45339.529166666667</v>
      </c>
      <c r="D490" s="45" t="s">
        <v>89</v>
      </c>
      <c r="E490">
        <v>1</v>
      </c>
      <c r="F490" s="45" t="s">
        <v>349</v>
      </c>
      <c r="G490" s="45" t="s">
        <v>14</v>
      </c>
      <c r="H490" s="45" t="s">
        <v>796</v>
      </c>
    </row>
    <row r="491" spans="1:8">
      <c r="A491">
        <v>490</v>
      </c>
      <c r="B491" s="45" t="s">
        <v>582</v>
      </c>
      <c r="C491" s="46">
        <v>45339.53402777778</v>
      </c>
      <c r="D491" s="45" t="s">
        <v>153</v>
      </c>
      <c r="E491">
        <v>1</v>
      </c>
      <c r="F491" s="45" t="s">
        <v>583</v>
      </c>
      <c r="G491" s="45" t="s">
        <v>10</v>
      </c>
      <c r="H491" s="45" t="s">
        <v>795</v>
      </c>
    </row>
    <row r="492" spans="1:8">
      <c r="A492">
        <v>491</v>
      </c>
      <c r="B492" s="45" t="s">
        <v>584</v>
      </c>
      <c r="C492" s="46">
        <v>45339.538888888892</v>
      </c>
      <c r="D492" s="45" t="s">
        <v>42</v>
      </c>
      <c r="E492">
        <v>1</v>
      </c>
      <c r="F492" s="45" t="s">
        <v>37</v>
      </c>
      <c r="G492" s="45" t="s">
        <v>14</v>
      </c>
      <c r="H492" s="45" t="s">
        <v>796</v>
      </c>
    </row>
    <row r="493" spans="1:8">
      <c r="A493">
        <v>492</v>
      </c>
      <c r="B493" s="45" t="s">
        <v>585</v>
      </c>
      <c r="C493" s="46">
        <v>45339.543749999997</v>
      </c>
      <c r="D493" s="45" t="s">
        <v>30</v>
      </c>
      <c r="E493">
        <v>1</v>
      </c>
      <c r="F493" s="45" t="s">
        <v>312</v>
      </c>
      <c r="G493" s="45" t="s">
        <v>10</v>
      </c>
      <c r="H493" s="45" t="s">
        <v>795</v>
      </c>
    </row>
    <row r="494" spans="1:8">
      <c r="A494">
        <v>493</v>
      </c>
      <c r="B494" s="45" t="s">
        <v>585</v>
      </c>
      <c r="C494" s="46">
        <v>45339.543749999997</v>
      </c>
      <c r="D494" s="45" t="s">
        <v>12</v>
      </c>
      <c r="E494">
        <v>1</v>
      </c>
      <c r="F494" s="45" t="s">
        <v>312</v>
      </c>
      <c r="G494" s="45" t="s">
        <v>789</v>
      </c>
      <c r="H494" s="45" t="s">
        <v>797</v>
      </c>
    </row>
    <row r="495" spans="1:8">
      <c r="A495">
        <v>494</v>
      </c>
      <c r="B495" s="45" t="s">
        <v>586</v>
      </c>
      <c r="C495" s="46">
        <v>45339.548611111109</v>
      </c>
      <c r="D495" s="45" t="s">
        <v>24</v>
      </c>
      <c r="E495">
        <v>1</v>
      </c>
      <c r="F495" s="45" t="s">
        <v>137</v>
      </c>
      <c r="G495" s="45" t="s">
        <v>14</v>
      </c>
      <c r="H495" s="45" t="s">
        <v>796</v>
      </c>
    </row>
    <row r="496" spans="1:8">
      <c r="A496">
        <v>495</v>
      </c>
      <c r="B496" s="45" t="s">
        <v>587</v>
      </c>
      <c r="C496" s="46">
        <v>45339.553472222222</v>
      </c>
      <c r="D496" s="45" t="s">
        <v>8</v>
      </c>
      <c r="E496">
        <v>1</v>
      </c>
      <c r="F496" s="45" t="s">
        <v>316</v>
      </c>
      <c r="G496" s="45" t="s">
        <v>10</v>
      </c>
      <c r="H496" s="45" t="s">
        <v>795</v>
      </c>
    </row>
    <row r="497" spans="1:8">
      <c r="A497">
        <v>496</v>
      </c>
      <c r="B497" s="45" t="s">
        <v>588</v>
      </c>
      <c r="C497" s="46">
        <v>45339.558333333334</v>
      </c>
      <c r="D497" s="45" t="s">
        <v>67</v>
      </c>
      <c r="E497">
        <v>1</v>
      </c>
      <c r="F497" s="45" t="s">
        <v>318</v>
      </c>
      <c r="G497" s="45" t="s">
        <v>14</v>
      </c>
      <c r="H497" s="45" t="s">
        <v>796</v>
      </c>
    </row>
    <row r="498" spans="1:8">
      <c r="A498">
        <v>497</v>
      </c>
      <c r="B498" s="45" t="s">
        <v>589</v>
      </c>
      <c r="C498" s="46">
        <v>45339.563194444447</v>
      </c>
      <c r="D498" s="45" t="s">
        <v>28</v>
      </c>
      <c r="E498">
        <v>1</v>
      </c>
      <c r="F498" s="45" t="s">
        <v>590</v>
      </c>
      <c r="G498" s="45" t="s">
        <v>10</v>
      </c>
      <c r="H498" s="45" t="s">
        <v>795</v>
      </c>
    </row>
    <row r="499" spans="1:8">
      <c r="A499">
        <v>498</v>
      </c>
      <c r="B499" s="45" t="s">
        <v>591</v>
      </c>
      <c r="C499" s="46">
        <v>45339.568055555559</v>
      </c>
      <c r="D499" s="45" t="s">
        <v>52</v>
      </c>
      <c r="E499">
        <v>1</v>
      </c>
      <c r="F499" s="45" t="s">
        <v>322</v>
      </c>
      <c r="G499" s="45" t="s">
        <v>14</v>
      </c>
      <c r="H499" s="45" t="s">
        <v>796</v>
      </c>
    </row>
    <row r="500" spans="1:8">
      <c r="A500">
        <v>499</v>
      </c>
      <c r="B500" s="45" t="s">
        <v>591</v>
      </c>
      <c r="C500" s="46">
        <v>45339.568055555559</v>
      </c>
      <c r="D500" s="45" t="s">
        <v>21</v>
      </c>
      <c r="E500">
        <v>1</v>
      </c>
      <c r="F500" s="45" t="s">
        <v>322</v>
      </c>
      <c r="G500" s="45" t="s">
        <v>789</v>
      </c>
      <c r="H500" s="45" t="s">
        <v>797</v>
      </c>
    </row>
    <row r="501" spans="1:8">
      <c r="A501">
        <v>500</v>
      </c>
      <c r="B501" s="45" t="s">
        <v>592</v>
      </c>
      <c r="C501" s="46">
        <v>45339.572916666664</v>
      </c>
      <c r="D501" s="45" t="s">
        <v>123</v>
      </c>
      <c r="E501">
        <v>1</v>
      </c>
      <c r="F501" s="45" t="s">
        <v>360</v>
      </c>
      <c r="G501" s="45" t="s">
        <v>10</v>
      </c>
      <c r="H501" s="45" t="s">
        <v>795</v>
      </c>
    </row>
    <row r="502" spans="1:8">
      <c r="A502">
        <v>501</v>
      </c>
      <c r="B502" s="45" t="s">
        <v>593</v>
      </c>
      <c r="C502" s="46">
        <v>45339.577777777777</v>
      </c>
      <c r="D502" s="45" t="s">
        <v>160</v>
      </c>
      <c r="E502">
        <v>1</v>
      </c>
      <c r="F502" s="45" t="s">
        <v>594</v>
      </c>
      <c r="G502" s="45" t="s">
        <v>14</v>
      </c>
      <c r="H502" s="45" t="s">
        <v>796</v>
      </c>
    </row>
    <row r="503" spans="1:8">
      <c r="A503">
        <v>502</v>
      </c>
      <c r="B503" s="45" t="s">
        <v>595</v>
      </c>
      <c r="C503" s="46">
        <v>45339.582638888889</v>
      </c>
      <c r="D503" s="45" t="s">
        <v>18</v>
      </c>
      <c r="E503">
        <v>1</v>
      </c>
      <c r="F503" s="45" t="s">
        <v>434</v>
      </c>
      <c r="G503" s="45" t="s">
        <v>10</v>
      </c>
      <c r="H503" s="45" t="s">
        <v>795</v>
      </c>
    </row>
    <row r="504" spans="1:8">
      <c r="A504">
        <v>503</v>
      </c>
      <c r="B504" s="45" t="s">
        <v>596</v>
      </c>
      <c r="C504" s="46">
        <v>45339.587500000001</v>
      </c>
      <c r="D504" s="45" t="s">
        <v>45</v>
      </c>
      <c r="E504">
        <v>1</v>
      </c>
      <c r="F504" s="45" t="s">
        <v>478</v>
      </c>
      <c r="G504" s="45" t="s">
        <v>14</v>
      </c>
      <c r="H504" s="45" t="s">
        <v>796</v>
      </c>
    </row>
    <row r="505" spans="1:8">
      <c r="A505">
        <v>504</v>
      </c>
      <c r="B505" s="45" t="s">
        <v>597</v>
      </c>
      <c r="C505" s="46">
        <v>45339.592361111114</v>
      </c>
      <c r="D505" s="45" t="s">
        <v>59</v>
      </c>
      <c r="E505">
        <v>1</v>
      </c>
      <c r="F505" s="45" t="s">
        <v>368</v>
      </c>
      <c r="G505" s="45" t="s">
        <v>10</v>
      </c>
      <c r="H505" s="45" t="s">
        <v>795</v>
      </c>
    </row>
    <row r="506" spans="1:8">
      <c r="A506">
        <v>505</v>
      </c>
      <c r="B506" s="45" t="s">
        <v>598</v>
      </c>
      <c r="C506" s="46">
        <v>45339.597222222219</v>
      </c>
      <c r="D506" s="45" t="s">
        <v>110</v>
      </c>
      <c r="E506">
        <v>1</v>
      </c>
      <c r="F506" s="45" t="s">
        <v>599</v>
      </c>
      <c r="G506" s="45" t="s">
        <v>14</v>
      </c>
      <c r="H506" s="45" t="s">
        <v>796</v>
      </c>
    </row>
    <row r="507" spans="1:8">
      <c r="A507">
        <v>506</v>
      </c>
      <c r="B507" s="45" t="s">
        <v>600</v>
      </c>
      <c r="C507" s="46">
        <v>45339.602083333331</v>
      </c>
      <c r="D507" s="45" t="s">
        <v>50</v>
      </c>
      <c r="E507">
        <v>1</v>
      </c>
      <c r="F507" s="45" t="s">
        <v>372</v>
      </c>
      <c r="G507" s="45" t="s">
        <v>10</v>
      </c>
      <c r="H507" s="45" t="s">
        <v>795</v>
      </c>
    </row>
    <row r="508" spans="1:8">
      <c r="A508">
        <v>507</v>
      </c>
      <c r="B508" s="45" t="s">
        <v>600</v>
      </c>
      <c r="C508" s="46">
        <v>45339.602083333331</v>
      </c>
      <c r="D508" s="45" t="s">
        <v>26</v>
      </c>
      <c r="E508">
        <v>1</v>
      </c>
      <c r="F508" s="45" t="s">
        <v>372</v>
      </c>
      <c r="G508" s="45" t="s">
        <v>789</v>
      </c>
      <c r="H508" s="45" t="s">
        <v>797</v>
      </c>
    </row>
    <row r="509" spans="1:8">
      <c r="A509">
        <v>508</v>
      </c>
      <c r="B509" s="45" t="s">
        <v>601</v>
      </c>
      <c r="C509" s="46">
        <v>45339.606944444444</v>
      </c>
      <c r="D509" s="45" t="s">
        <v>142</v>
      </c>
      <c r="E509">
        <v>1</v>
      </c>
      <c r="F509" s="45" t="s">
        <v>602</v>
      </c>
      <c r="G509" s="45" t="s">
        <v>14</v>
      </c>
      <c r="H509" s="45" t="s">
        <v>796</v>
      </c>
    </row>
    <row r="510" spans="1:8">
      <c r="A510">
        <v>509</v>
      </c>
      <c r="B510" s="45" t="s">
        <v>603</v>
      </c>
      <c r="C510" s="46">
        <v>45339.611805555556</v>
      </c>
      <c r="D510" s="45" t="s">
        <v>48</v>
      </c>
      <c r="E510">
        <v>1</v>
      </c>
      <c r="F510" s="45" t="s">
        <v>604</v>
      </c>
      <c r="G510" s="45" t="s">
        <v>10</v>
      </c>
      <c r="H510" s="45" t="s">
        <v>795</v>
      </c>
    </row>
    <row r="511" spans="1:8">
      <c r="A511">
        <v>510</v>
      </c>
      <c r="B511" s="45" t="s">
        <v>605</v>
      </c>
      <c r="C511" s="46">
        <v>45339.616666666669</v>
      </c>
      <c r="D511" s="45" t="s">
        <v>32</v>
      </c>
      <c r="E511">
        <v>1</v>
      </c>
      <c r="F511" s="45" t="s">
        <v>446</v>
      </c>
      <c r="G511" s="45" t="s">
        <v>14</v>
      </c>
      <c r="H511" s="45" t="s">
        <v>796</v>
      </c>
    </row>
    <row r="512" spans="1:8">
      <c r="A512">
        <v>511</v>
      </c>
      <c r="B512" s="45" t="s">
        <v>606</v>
      </c>
      <c r="C512" s="46">
        <v>45339.621527777781</v>
      </c>
      <c r="D512" s="45" t="s">
        <v>36</v>
      </c>
      <c r="E512">
        <v>1</v>
      </c>
      <c r="F512" s="45" t="s">
        <v>607</v>
      </c>
      <c r="G512" s="45" t="s">
        <v>10</v>
      </c>
      <c r="H512" s="45" t="s">
        <v>795</v>
      </c>
    </row>
    <row r="513" spans="1:8">
      <c r="A513">
        <v>512</v>
      </c>
      <c r="B513" s="45" t="s">
        <v>608</v>
      </c>
      <c r="C513" s="46">
        <v>45339.626388888886</v>
      </c>
      <c r="D513" s="45" t="s">
        <v>34</v>
      </c>
      <c r="E513">
        <v>1</v>
      </c>
      <c r="F513" s="45" t="s">
        <v>450</v>
      </c>
      <c r="G513" s="45" t="s">
        <v>14</v>
      </c>
      <c r="H513" s="45" t="s">
        <v>796</v>
      </c>
    </row>
    <row r="514" spans="1:8">
      <c r="A514">
        <v>513</v>
      </c>
      <c r="B514" s="45" t="s">
        <v>608</v>
      </c>
      <c r="C514" s="46">
        <v>45339.626388888886</v>
      </c>
      <c r="D514" s="45" t="s">
        <v>38</v>
      </c>
      <c r="E514">
        <v>1</v>
      </c>
      <c r="F514" s="45" t="s">
        <v>450</v>
      </c>
      <c r="G514" s="45" t="s">
        <v>789</v>
      </c>
      <c r="H514" s="45" t="s">
        <v>797</v>
      </c>
    </row>
    <row r="515" spans="1:8">
      <c r="A515">
        <v>514</v>
      </c>
      <c r="B515" s="45" t="s">
        <v>609</v>
      </c>
      <c r="C515" s="46">
        <v>45339.640972222223</v>
      </c>
      <c r="D515" s="45" t="s">
        <v>89</v>
      </c>
      <c r="E515">
        <v>1</v>
      </c>
      <c r="F515" s="45" t="s">
        <v>386</v>
      </c>
      <c r="G515" s="45" t="s">
        <v>10</v>
      </c>
      <c r="H515" s="45" t="s">
        <v>795</v>
      </c>
    </row>
    <row r="516" spans="1:8">
      <c r="A516">
        <v>515</v>
      </c>
      <c r="B516" s="45" t="s">
        <v>610</v>
      </c>
      <c r="C516" s="46">
        <v>45339.652083333334</v>
      </c>
      <c r="D516" s="45" t="s">
        <v>153</v>
      </c>
      <c r="E516">
        <v>1</v>
      </c>
      <c r="F516" s="45" t="s">
        <v>345</v>
      </c>
      <c r="G516" s="45" t="s">
        <v>14</v>
      </c>
      <c r="H516" s="45" t="s">
        <v>796</v>
      </c>
    </row>
    <row r="517" spans="1:8">
      <c r="A517">
        <v>516</v>
      </c>
      <c r="B517" s="45" t="s">
        <v>611</v>
      </c>
      <c r="C517" s="46">
        <v>45339.663194444445</v>
      </c>
      <c r="D517" s="45" t="s">
        <v>48</v>
      </c>
      <c r="E517">
        <v>1</v>
      </c>
      <c r="F517" s="45" t="s">
        <v>604</v>
      </c>
      <c r="G517" s="45" t="s">
        <v>10</v>
      </c>
      <c r="H517" s="45" t="s">
        <v>795</v>
      </c>
    </row>
    <row r="518" spans="1:8">
      <c r="A518">
        <v>517</v>
      </c>
      <c r="B518" s="45" t="s">
        <v>612</v>
      </c>
      <c r="C518" s="46">
        <v>45339.674305555556</v>
      </c>
      <c r="D518" s="45" t="s">
        <v>36</v>
      </c>
      <c r="E518">
        <v>1</v>
      </c>
      <c r="F518" s="45" t="s">
        <v>446</v>
      </c>
      <c r="G518" s="45" t="s">
        <v>14</v>
      </c>
      <c r="H518" s="45" t="s">
        <v>796</v>
      </c>
    </row>
    <row r="519" spans="1:8">
      <c r="A519">
        <v>518</v>
      </c>
      <c r="B519" s="45" t="s">
        <v>613</v>
      </c>
      <c r="C519" s="46">
        <v>45339.685416666667</v>
      </c>
      <c r="D519" s="45" t="s">
        <v>32</v>
      </c>
      <c r="E519">
        <v>1</v>
      </c>
      <c r="F519" s="45" t="s">
        <v>607</v>
      </c>
      <c r="G519" s="45" t="s">
        <v>10</v>
      </c>
      <c r="H519" s="45" t="s">
        <v>795</v>
      </c>
    </row>
    <row r="520" spans="1:8">
      <c r="A520">
        <v>519</v>
      </c>
      <c r="B520" s="45" t="s">
        <v>614</v>
      </c>
      <c r="C520" s="46">
        <v>45339.696527777778</v>
      </c>
      <c r="D520" s="45" t="s">
        <v>34</v>
      </c>
      <c r="E520">
        <v>1</v>
      </c>
      <c r="F520" s="45" t="s">
        <v>450</v>
      </c>
      <c r="G520" s="45" t="s">
        <v>14</v>
      </c>
      <c r="H520" s="45" t="s">
        <v>796</v>
      </c>
    </row>
    <row r="521" spans="1:8">
      <c r="A521">
        <v>520</v>
      </c>
      <c r="B521" s="45" t="s">
        <v>615</v>
      </c>
      <c r="C521" s="46">
        <v>45339.707638888889</v>
      </c>
      <c r="D521" s="45" t="s">
        <v>59</v>
      </c>
      <c r="E521">
        <v>1</v>
      </c>
      <c r="F521" s="45" t="s">
        <v>452</v>
      </c>
      <c r="G521" s="45" t="s">
        <v>10</v>
      </c>
      <c r="H521" s="45" t="s">
        <v>795</v>
      </c>
    </row>
    <row r="522" spans="1:8">
      <c r="A522">
        <v>521</v>
      </c>
      <c r="B522" s="45" t="s">
        <v>616</v>
      </c>
      <c r="C522" s="46">
        <v>45339.708333333336</v>
      </c>
      <c r="D522" s="45" t="s">
        <v>160</v>
      </c>
      <c r="E522">
        <v>1</v>
      </c>
      <c r="F522" s="45" t="s">
        <v>454</v>
      </c>
      <c r="G522" s="45" t="s">
        <v>14</v>
      </c>
      <c r="H522" s="45" t="s">
        <v>796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2"/>
  <sheetViews>
    <sheetView workbookViewId="0">
      <selection activeCell="L14" sqref="L14"/>
    </sheetView>
  </sheetViews>
  <sheetFormatPr defaultColWidth="9.125" defaultRowHeight="14.25"/>
  <cols>
    <col min="1" max="1" width="9.125" style="5"/>
    <col min="2" max="2" width="13.875" style="10" customWidth="1"/>
    <col min="3" max="3" width="18.75" style="11" bestFit="1" customWidth="1"/>
    <col min="4" max="4" width="9.25" style="10" customWidth="1"/>
    <col min="5" max="5" width="10.125" style="5" customWidth="1"/>
    <col min="6" max="6" width="14.375" style="5" customWidth="1"/>
    <col min="7" max="8" width="13.75" style="5" customWidth="1"/>
    <col min="9" max="9" width="15.25" style="5" customWidth="1"/>
    <col min="10" max="16384" width="9.125" style="5"/>
  </cols>
  <sheetData>
    <row r="1" spans="1:10" ht="15.7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t="s">
        <v>6</v>
      </c>
      <c r="H1" s="21" t="s">
        <v>794</v>
      </c>
    </row>
    <row r="2" spans="1:10" ht="15.75">
      <c r="A2" s="18">
        <v>1</v>
      </c>
      <c r="B2" s="7" t="s">
        <v>7</v>
      </c>
      <c r="C2" s="12">
        <v>45334.294444444444</v>
      </c>
      <c r="D2" s="7" t="s">
        <v>8</v>
      </c>
      <c r="E2" s="7">
        <v>1</v>
      </c>
      <c r="F2" s="7" t="s">
        <v>9</v>
      </c>
      <c r="G2" s="22" t="s">
        <v>10</v>
      </c>
      <c r="H2" s="33" t="str" cm="1">
        <f t="array" ref="H2">_xlfn.IFS(Table1[[#This Row],[in_or_out]]="out", "Take_out",Table1[[#This Row],[in_or_out]]="in", "Dine_in", Table1[[#This Row],[in_or_out]]="","Unknown")</f>
        <v>Take_out</v>
      </c>
      <c r="I2" s="5" t="s">
        <v>790</v>
      </c>
      <c r="J2" s="5">
        <f>COUNTBLANK(Table1[in_or_out])</f>
        <v>90</v>
      </c>
    </row>
    <row r="3" spans="1:10" ht="15.75">
      <c r="A3" s="18">
        <v>2</v>
      </c>
      <c r="B3" s="7" t="s">
        <v>11</v>
      </c>
      <c r="C3" s="12">
        <v>45334.29791666667</v>
      </c>
      <c r="D3" s="7" t="s">
        <v>12</v>
      </c>
      <c r="E3" s="7">
        <v>1</v>
      </c>
      <c r="F3" s="7" t="s">
        <v>13</v>
      </c>
      <c r="G3" s="19" t="s">
        <v>14</v>
      </c>
      <c r="H3" s="7" t="str" cm="1">
        <f t="array" ref="H3">_xlfn.IFS(Table1[[#This Row],[in_or_out]]="out", "Take_out",Table1[[#This Row],[in_or_out]]="in", "Dine_in", Table1[[#This Row],[in_or_out]]="","Unknown")</f>
        <v>Dine_in</v>
      </c>
      <c r="I3" s="5" t="s">
        <v>791</v>
      </c>
      <c r="J3" s="5">
        <f>COUNT(Table1[row_id])</f>
        <v>521</v>
      </c>
    </row>
    <row r="4" spans="1:10" ht="15.75">
      <c r="A4" s="18">
        <v>3</v>
      </c>
      <c r="B4" s="7" t="s">
        <v>15</v>
      </c>
      <c r="C4" s="12">
        <v>45334.301388888889</v>
      </c>
      <c r="D4" s="7" t="s">
        <v>8</v>
      </c>
      <c r="E4" s="7">
        <v>1</v>
      </c>
      <c r="F4" s="7" t="s">
        <v>16</v>
      </c>
      <c r="G4" s="19" t="s">
        <v>10</v>
      </c>
      <c r="H4" s="7" t="str" cm="1">
        <f t="array" ref="H4">_xlfn.IFS(Table1[[#This Row],[in_or_out]]="out", "Take_out",Table1[[#This Row],[in_or_out]]="in", "Dine_in", Table1[[#This Row],[in_or_out]]="","Unknown")</f>
        <v>Take_out</v>
      </c>
      <c r="I4" s="5" t="s">
        <v>792</v>
      </c>
      <c r="J4" s="5">
        <f>COUNTIF(Table1[in_or_out],"out")</f>
        <v>228</v>
      </c>
    </row>
    <row r="5" spans="1:10" ht="15.75">
      <c r="A5" s="18">
        <v>4</v>
      </c>
      <c r="B5" s="7" t="s">
        <v>17</v>
      </c>
      <c r="C5" s="12">
        <v>45334.304166666669</v>
      </c>
      <c r="D5" s="7" t="s">
        <v>18</v>
      </c>
      <c r="E5" s="7">
        <v>1</v>
      </c>
      <c r="F5" s="7" t="s">
        <v>19</v>
      </c>
      <c r="G5" s="19" t="s">
        <v>10</v>
      </c>
      <c r="H5" s="7" t="str" cm="1">
        <f t="array" ref="H5">_xlfn.IFS(Table1[[#This Row],[in_or_out]]="out", "Take_out",Table1[[#This Row],[in_or_out]]="in", "Dine_in", Table1[[#This Row],[in_or_out]]="","Unknown")</f>
        <v>Take_out</v>
      </c>
      <c r="I5" s="35" t="s">
        <v>793</v>
      </c>
      <c r="J5" s="5">
        <f>COUNTIF(Table1[in_or_out],"in")</f>
        <v>203</v>
      </c>
    </row>
    <row r="6" spans="1:10" ht="15.75">
      <c r="A6" s="18">
        <v>5</v>
      </c>
      <c r="B6" s="7" t="s">
        <v>20</v>
      </c>
      <c r="C6" s="12">
        <v>45334.307638888888</v>
      </c>
      <c r="D6" s="7" t="s">
        <v>21</v>
      </c>
      <c r="E6" s="7">
        <v>1</v>
      </c>
      <c r="F6" s="7" t="s">
        <v>22</v>
      </c>
      <c r="G6" s="19" t="s">
        <v>10</v>
      </c>
      <c r="H6" s="7" t="str" cm="1">
        <f t="array" ref="H6">_xlfn.IFS(Table1[[#This Row],[in_or_out]]="out", "Take_out",Table1[[#This Row],[in_or_out]]="in", "Dine_in", Table1[[#This Row],[in_or_out]]="","Unknown")</f>
        <v>Take_out</v>
      </c>
    </row>
    <row r="7" spans="1:10" ht="15.75">
      <c r="A7" s="18">
        <v>6</v>
      </c>
      <c r="B7" s="7" t="s">
        <v>23</v>
      </c>
      <c r="C7" s="12">
        <v>45334.311111111114</v>
      </c>
      <c r="D7" s="7" t="s">
        <v>24</v>
      </c>
      <c r="E7" s="7">
        <v>1</v>
      </c>
      <c r="F7" s="7" t="s">
        <v>25</v>
      </c>
      <c r="G7" s="19" t="s">
        <v>14</v>
      </c>
      <c r="H7" s="7" t="str" cm="1">
        <f t="array" ref="H7">_xlfn.IFS(Table1[[#This Row],[in_or_out]]="out", "Take_out",Table1[[#This Row],[in_or_out]]="in", "Dine_in", Table1[[#This Row],[in_or_out]]="","Unknown")</f>
        <v>Dine_in</v>
      </c>
    </row>
    <row r="8" spans="1:10" ht="15.75">
      <c r="A8" s="18">
        <v>7</v>
      </c>
      <c r="B8" s="7" t="s">
        <v>23</v>
      </c>
      <c r="C8" s="12">
        <v>45334.311111111114</v>
      </c>
      <c r="D8" s="7" t="s">
        <v>26</v>
      </c>
      <c r="E8" s="7">
        <v>1</v>
      </c>
      <c r="F8" s="7" t="s">
        <v>25</v>
      </c>
      <c r="G8" s="19" t="s">
        <v>14</v>
      </c>
      <c r="H8" s="7" t="str" cm="1">
        <f t="array" ref="H8">_xlfn.IFS(Table1[[#This Row],[in_or_out]]="out", "Take_out",Table1[[#This Row],[in_or_out]]="in", "Dine_in", Table1[[#This Row],[in_or_out]]="","Unknown")</f>
        <v>Dine_in</v>
      </c>
    </row>
    <row r="9" spans="1:10" ht="15.75">
      <c r="A9" s="18">
        <v>8</v>
      </c>
      <c r="B9" s="7" t="s">
        <v>27</v>
      </c>
      <c r="C9" s="12">
        <v>45334.314583333333</v>
      </c>
      <c r="D9" s="7" t="s">
        <v>28</v>
      </c>
      <c r="E9" s="7">
        <v>1</v>
      </c>
      <c r="F9" s="7" t="s">
        <v>29</v>
      </c>
      <c r="G9" s="19" t="s">
        <v>10</v>
      </c>
      <c r="H9" s="7" t="str" cm="1">
        <f t="array" ref="H9">_xlfn.IFS(Table1[[#This Row],[in_or_out]]="out", "Take_out",Table1[[#This Row],[in_or_out]]="in", "Dine_in", Table1[[#This Row],[in_or_out]]="","Unknown")</f>
        <v>Take_out</v>
      </c>
    </row>
    <row r="10" spans="1:10" ht="15.75">
      <c r="A10" s="18">
        <v>9</v>
      </c>
      <c r="B10" s="7" t="s">
        <v>27</v>
      </c>
      <c r="C10" s="12">
        <v>45334.314583333333</v>
      </c>
      <c r="D10" s="7" t="s">
        <v>30</v>
      </c>
      <c r="E10" s="7">
        <v>1</v>
      </c>
      <c r="F10" s="7" t="s">
        <v>29</v>
      </c>
      <c r="G10" s="19" t="s">
        <v>789</v>
      </c>
      <c r="H10" s="7" t="str" cm="1">
        <f t="array" ref="H10">_xlfn.IFS(Table1[[#This Row],[in_or_out]]="out", "Take_out",Table1[[#This Row],[in_or_out]]="in", "Dine_in", Table1[[#This Row],[in_or_out]]="","Unknown")</f>
        <v>Unknown</v>
      </c>
    </row>
    <row r="11" spans="1:10" ht="15.75">
      <c r="A11" s="18">
        <v>10</v>
      </c>
      <c r="B11" s="7" t="s">
        <v>31</v>
      </c>
      <c r="C11" s="12">
        <v>45334.318749999999</v>
      </c>
      <c r="D11" s="7" t="s">
        <v>32</v>
      </c>
      <c r="E11" s="7">
        <v>1</v>
      </c>
      <c r="F11" s="7" t="s">
        <v>33</v>
      </c>
      <c r="G11" s="19" t="s">
        <v>14</v>
      </c>
      <c r="H11" s="7" t="str" cm="1">
        <f t="array" ref="H11">_xlfn.IFS(Table1[[#This Row],[in_or_out]]="out", "Take_out",Table1[[#This Row],[in_or_out]]="in", "Dine_in", Table1[[#This Row],[in_or_out]]="","Unknown")</f>
        <v>Dine_in</v>
      </c>
    </row>
    <row r="12" spans="1:10" ht="15.75">
      <c r="A12" s="18">
        <v>11</v>
      </c>
      <c r="B12" s="7" t="s">
        <v>31</v>
      </c>
      <c r="C12" s="12">
        <v>45334.318749999999</v>
      </c>
      <c r="D12" s="7" t="s">
        <v>34</v>
      </c>
      <c r="E12" s="7">
        <v>1</v>
      </c>
      <c r="F12" s="7" t="s">
        <v>33</v>
      </c>
      <c r="G12" s="19" t="s">
        <v>789</v>
      </c>
      <c r="H12" s="7" t="str" cm="1">
        <f t="array" ref="H12">_xlfn.IFS(Table1[[#This Row],[in_or_out]]="out", "Take_out",Table1[[#This Row],[in_or_out]]="in", "Dine_in", Table1[[#This Row],[in_or_out]]="","Unknown")</f>
        <v>Unknown</v>
      </c>
    </row>
    <row r="13" spans="1:10" ht="15.75">
      <c r="A13" s="18">
        <v>12</v>
      </c>
      <c r="B13" s="7" t="s">
        <v>35</v>
      </c>
      <c r="C13" s="12">
        <v>45334.322222222225</v>
      </c>
      <c r="D13" s="7" t="s">
        <v>36</v>
      </c>
      <c r="E13" s="7">
        <v>1</v>
      </c>
      <c r="F13" s="7" t="s">
        <v>37</v>
      </c>
      <c r="G13" s="19" t="s">
        <v>10</v>
      </c>
      <c r="H13" s="7" t="str" cm="1">
        <f t="array" ref="H13">_xlfn.IFS(Table1[[#This Row],[in_or_out]]="out", "Take_out",Table1[[#This Row],[in_or_out]]="in", "Dine_in", Table1[[#This Row],[in_or_out]]="","Unknown")</f>
        <v>Take_out</v>
      </c>
    </row>
    <row r="14" spans="1:10" ht="15.75">
      <c r="A14" s="18">
        <v>13</v>
      </c>
      <c r="B14" s="7" t="s">
        <v>35</v>
      </c>
      <c r="C14" s="12">
        <v>45334.322222222225</v>
      </c>
      <c r="D14" s="7" t="s">
        <v>38</v>
      </c>
      <c r="E14" s="7">
        <v>1</v>
      </c>
      <c r="F14" s="7" t="s">
        <v>37</v>
      </c>
      <c r="G14" s="19" t="s">
        <v>789</v>
      </c>
      <c r="H14" s="7" t="str" cm="1">
        <f t="array" ref="H14">_xlfn.IFS(Table1[[#This Row],[in_or_out]]="out", "Take_out",Table1[[#This Row],[in_or_out]]="in", "Dine_in", Table1[[#This Row],[in_or_out]]="","Unknown")</f>
        <v>Unknown</v>
      </c>
    </row>
    <row r="15" spans="1:10" ht="15.75">
      <c r="A15" s="18">
        <v>14</v>
      </c>
      <c r="B15" s="7" t="s">
        <v>39</v>
      </c>
      <c r="C15" s="12">
        <v>45334.325694444444</v>
      </c>
      <c r="D15" s="7" t="s">
        <v>21</v>
      </c>
      <c r="E15" s="7">
        <v>1</v>
      </c>
      <c r="F15" s="7" t="s">
        <v>40</v>
      </c>
      <c r="G15" s="19" t="s">
        <v>10</v>
      </c>
      <c r="H15" s="7" t="str" cm="1">
        <f t="array" ref="H15">_xlfn.IFS(Table1[[#This Row],[in_or_out]]="out", "Take_out",Table1[[#This Row],[in_or_out]]="in", "Dine_in", Table1[[#This Row],[in_or_out]]="","Unknown")</f>
        <v>Take_out</v>
      </c>
    </row>
    <row r="16" spans="1:10" ht="15.75">
      <c r="A16" s="18">
        <v>15</v>
      </c>
      <c r="B16" s="7" t="s">
        <v>39</v>
      </c>
      <c r="C16" s="12">
        <v>45334.325694444444</v>
      </c>
      <c r="D16" s="7" t="s">
        <v>12</v>
      </c>
      <c r="E16" s="7">
        <v>1</v>
      </c>
      <c r="F16" s="7" t="s">
        <v>40</v>
      </c>
      <c r="G16" s="19" t="s">
        <v>789</v>
      </c>
      <c r="H16" s="7" t="str" cm="1">
        <f t="array" ref="H16">_xlfn.IFS(Table1[[#This Row],[in_or_out]]="out", "Take_out",Table1[[#This Row],[in_or_out]]="in", "Dine_in", Table1[[#This Row],[in_or_out]]="","Unknown")</f>
        <v>Unknown</v>
      </c>
    </row>
    <row r="17" spans="1:8" ht="15.75">
      <c r="A17" s="18">
        <v>16</v>
      </c>
      <c r="B17" s="7" t="s">
        <v>41</v>
      </c>
      <c r="C17" s="12">
        <v>45334.328472222223</v>
      </c>
      <c r="D17" s="7" t="s">
        <v>42</v>
      </c>
      <c r="E17" s="7">
        <v>1</v>
      </c>
      <c r="F17" s="7" t="s">
        <v>43</v>
      </c>
      <c r="G17" s="19" t="s">
        <v>10</v>
      </c>
      <c r="H17" s="7" t="str" cm="1">
        <f t="array" ref="H17">_xlfn.IFS(Table1[[#This Row],[in_or_out]]="out", "Take_out",Table1[[#This Row],[in_or_out]]="in", "Dine_in", Table1[[#This Row],[in_or_out]]="","Unknown")</f>
        <v>Take_out</v>
      </c>
    </row>
    <row r="18" spans="1:8" ht="15.75">
      <c r="A18" s="18">
        <v>17</v>
      </c>
      <c r="B18" s="7" t="s">
        <v>44</v>
      </c>
      <c r="C18" s="12">
        <v>45334.331944444442</v>
      </c>
      <c r="D18" s="7" t="s">
        <v>45</v>
      </c>
      <c r="E18" s="7">
        <v>1</v>
      </c>
      <c r="F18" s="7" t="s">
        <v>46</v>
      </c>
      <c r="G18" s="19" t="s">
        <v>10</v>
      </c>
      <c r="H18" s="7" t="str" cm="1">
        <f t="array" ref="H18">_xlfn.IFS(Table1[[#This Row],[in_or_out]]="out", "Take_out",Table1[[#This Row],[in_or_out]]="in", "Dine_in", Table1[[#This Row],[in_or_out]]="","Unknown")</f>
        <v>Take_out</v>
      </c>
    </row>
    <row r="19" spans="1:8" ht="15.75">
      <c r="A19" s="18">
        <v>18</v>
      </c>
      <c r="B19" s="7" t="s">
        <v>47</v>
      </c>
      <c r="C19" s="12">
        <v>45334.335416666669</v>
      </c>
      <c r="D19" s="7" t="s">
        <v>48</v>
      </c>
      <c r="E19" s="7">
        <v>1</v>
      </c>
      <c r="F19" s="7" t="s">
        <v>49</v>
      </c>
      <c r="G19" s="19" t="s">
        <v>14</v>
      </c>
      <c r="H19" s="7" t="str" cm="1">
        <f t="array" ref="H19">_xlfn.IFS(Table1[[#This Row],[in_or_out]]="out", "Take_out",Table1[[#This Row],[in_or_out]]="in", "Dine_in", Table1[[#This Row],[in_or_out]]="","Unknown")</f>
        <v>Dine_in</v>
      </c>
    </row>
    <row r="20" spans="1:8" ht="15.75">
      <c r="A20" s="18">
        <v>19</v>
      </c>
      <c r="B20" s="7" t="s">
        <v>47</v>
      </c>
      <c r="C20" s="12">
        <v>45334.335416666669</v>
      </c>
      <c r="D20" s="7" t="s">
        <v>50</v>
      </c>
      <c r="E20" s="7">
        <v>1</v>
      </c>
      <c r="F20" s="7" t="s">
        <v>49</v>
      </c>
      <c r="G20" s="19" t="s">
        <v>789</v>
      </c>
      <c r="H20" s="7" t="str" cm="1">
        <f t="array" ref="H20">_xlfn.IFS(Table1[[#This Row],[in_or_out]]="out", "Take_out",Table1[[#This Row],[in_or_out]]="in", "Dine_in", Table1[[#This Row],[in_or_out]]="","Unknown")</f>
        <v>Unknown</v>
      </c>
    </row>
    <row r="21" spans="1:8" ht="15.75">
      <c r="A21" s="18">
        <v>20</v>
      </c>
      <c r="B21" s="7" t="s">
        <v>51</v>
      </c>
      <c r="C21" s="12">
        <v>45334.338888888888</v>
      </c>
      <c r="D21" s="7" t="s">
        <v>52</v>
      </c>
      <c r="E21" s="7">
        <v>1</v>
      </c>
      <c r="F21" s="7" t="s">
        <v>53</v>
      </c>
      <c r="G21" s="19" t="s">
        <v>14</v>
      </c>
      <c r="H21" s="7" t="str" cm="1">
        <f t="array" ref="H21">_xlfn.IFS(Table1[[#This Row],[in_or_out]]="out", "Take_out",Table1[[#This Row],[in_or_out]]="in", "Dine_in", Table1[[#This Row],[in_or_out]]="","Unknown")</f>
        <v>Dine_in</v>
      </c>
    </row>
    <row r="22" spans="1:8" ht="15.75">
      <c r="A22" s="18">
        <v>21</v>
      </c>
      <c r="B22" s="7" t="s">
        <v>51</v>
      </c>
      <c r="C22" s="12">
        <v>45334.338888888888</v>
      </c>
      <c r="D22" s="7" t="s">
        <v>54</v>
      </c>
      <c r="E22" s="7">
        <v>1</v>
      </c>
      <c r="F22" s="7" t="s">
        <v>53</v>
      </c>
      <c r="G22" s="19" t="s">
        <v>789</v>
      </c>
      <c r="H22" s="7" t="str" cm="1">
        <f t="array" ref="H22">_xlfn.IFS(Table1[[#This Row],[in_or_out]]="out", "Take_out",Table1[[#This Row],[in_or_out]]="in", "Dine_in", Table1[[#This Row],[in_or_out]]="","Unknown")</f>
        <v>Unknown</v>
      </c>
    </row>
    <row r="23" spans="1:8" ht="15.75">
      <c r="A23" s="18">
        <v>22</v>
      </c>
      <c r="B23" s="7" t="s">
        <v>55</v>
      </c>
      <c r="C23" s="12">
        <v>45334.341666666667</v>
      </c>
      <c r="D23" s="7" t="s">
        <v>56</v>
      </c>
      <c r="E23" s="7">
        <v>1</v>
      </c>
      <c r="F23" s="7" t="s">
        <v>57</v>
      </c>
      <c r="G23" s="19" t="s">
        <v>10</v>
      </c>
      <c r="H23" s="7" t="str" cm="1">
        <f t="array" ref="H23">_xlfn.IFS(Table1[[#This Row],[in_or_out]]="out", "Take_out",Table1[[#This Row],[in_or_out]]="in", "Dine_in", Table1[[#This Row],[in_or_out]]="","Unknown")</f>
        <v>Take_out</v>
      </c>
    </row>
    <row r="24" spans="1:8" ht="15.75">
      <c r="A24" s="18">
        <v>23</v>
      </c>
      <c r="B24" s="7" t="s">
        <v>58</v>
      </c>
      <c r="C24" s="12">
        <v>45334.345138888886</v>
      </c>
      <c r="D24" s="7" t="s">
        <v>59</v>
      </c>
      <c r="E24" s="7">
        <v>1</v>
      </c>
      <c r="F24" s="7" t="s">
        <v>60</v>
      </c>
      <c r="G24" s="19" t="s">
        <v>10</v>
      </c>
      <c r="H24" s="7" t="str" cm="1">
        <f t="array" ref="H24">_xlfn.IFS(Table1[[#This Row],[in_or_out]]="out", "Take_out",Table1[[#This Row],[in_or_out]]="in", "Dine_in", Table1[[#This Row],[in_or_out]]="","Unknown")</f>
        <v>Take_out</v>
      </c>
    </row>
    <row r="25" spans="1:8" ht="15.75">
      <c r="A25" s="18">
        <v>24</v>
      </c>
      <c r="B25" s="7" t="s">
        <v>61</v>
      </c>
      <c r="C25" s="12">
        <v>45334.348611111112</v>
      </c>
      <c r="D25" s="7" t="s">
        <v>24</v>
      </c>
      <c r="E25" s="7">
        <v>1</v>
      </c>
      <c r="F25" s="7" t="s">
        <v>62</v>
      </c>
      <c r="G25" s="19" t="s">
        <v>14</v>
      </c>
      <c r="H25" s="7" t="str" cm="1">
        <f t="array" ref="H25">_xlfn.IFS(Table1[[#This Row],[in_or_out]]="out", "Take_out",Table1[[#This Row],[in_or_out]]="in", "Dine_in", Table1[[#This Row],[in_or_out]]="","Unknown")</f>
        <v>Dine_in</v>
      </c>
    </row>
    <row r="26" spans="1:8" ht="15.75">
      <c r="A26" s="18">
        <v>25</v>
      </c>
      <c r="B26" s="7" t="s">
        <v>63</v>
      </c>
      <c r="C26" s="12">
        <v>45334.351388888892</v>
      </c>
      <c r="D26" s="7" t="s">
        <v>12</v>
      </c>
      <c r="E26" s="7">
        <v>1</v>
      </c>
      <c r="F26" s="7" t="s">
        <v>13</v>
      </c>
      <c r="G26" s="19" t="s">
        <v>10</v>
      </c>
      <c r="H26" s="7" t="str" cm="1">
        <f t="array" ref="H26">_xlfn.IFS(Table1[[#This Row],[in_or_out]]="out", "Take_out",Table1[[#This Row],[in_or_out]]="in", "Dine_in", Table1[[#This Row],[in_or_out]]="","Unknown")</f>
        <v>Take_out</v>
      </c>
    </row>
    <row r="27" spans="1:8" ht="15.75">
      <c r="A27" s="18">
        <v>26</v>
      </c>
      <c r="B27" s="7" t="s">
        <v>64</v>
      </c>
      <c r="C27" s="12">
        <v>45334.354861111111</v>
      </c>
      <c r="D27" s="7" t="s">
        <v>38</v>
      </c>
      <c r="E27" s="7">
        <v>1</v>
      </c>
      <c r="F27" s="7" t="s">
        <v>65</v>
      </c>
      <c r="G27" s="19" t="s">
        <v>14</v>
      </c>
      <c r="H27" s="7" t="str" cm="1">
        <f t="array" ref="H27">_xlfn.IFS(Table1[[#This Row],[in_or_out]]="out", "Take_out",Table1[[#This Row],[in_or_out]]="in", "Dine_in", Table1[[#This Row],[in_or_out]]="","Unknown")</f>
        <v>Dine_in</v>
      </c>
    </row>
    <row r="28" spans="1:8" ht="15.75">
      <c r="A28" s="18">
        <v>27</v>
      </c>
      <c r="B28" s="7" t="s">
        <v>66</v>
      </c>
      <c r="C28" s="12">
        <v>45334.35833333333</v>
      </c>
      <c r="D28" s="7" t="s">
        <v>67</v>
      </c>
      <c r="E28" s="7">
        <v>1</v>
      </c>
      <c r="F28" s="7" t="s">
        <v>68</v>
      </c>
      <c r="G28" s="19" t="s">
        <v>10</v>
      </c>
      <c r="H28" s="7" t="str" cm="1">
        <f t="array" ref="H28">_xlfn.IFS(Table1[[#This Row],[in_or_out]]="out", "Take_out",Table1[[#This Row],[in_or_out]]="in", "Dine_in", Table1[[#This Row],[in_or_out]]="","Unknown")</f>
        <v>Take_out</v>
      </c>
    </row>
    <row r="29" spans="1:8" ht="15.75">
      <c r="A29" s="18">
        <v>28</v>
      </c>
      <c r="B29" s="7" t="s">
        <v>66</v>
      </c>
      <c r="C29" s="12">
        <v>45334.35833333333</v>
      </c>
      <c r="D29" s="7" t="s">
        <v>30</v>
      </c>
      <c r="E29" s="7">
        <v>1</v>
      </c>
      <c r="F29" s="7" t="s">
        <v>68</v>
      </c>
      <c r="G29" s="19" t="s">
        <v>789</v>
      </c>
      <c r="H29" s="7" t="str" cm="1">
        <f t="array" ref="H29">_xlfn.IFS(Table1[[#This Row],[in_or_out]]="out", "Take_out",Table1[[#This Row],[in_or_out]]="in", "Dine_in", Table1[[#This Row],[in_or_out]]="","Unknown")</f>
        <v>Unknown</v>
      </c>
    </row>
    <row r="30" spans="1:8" ht="15.75">
      <c r="A30" s="18">
        <v>29</v>
      </c>
      <c r="B30" s="7" t="s">
        <v>69</v>
      </c>
      <c r="C30" s="12">
        <v>45334.361805555556</v>
      </c>
      <c r="D30" s="7" t="s">
        <v>28</v>
      </c>
      <c r="E30" s="7">
        <v>1</v>
      </c>
      <c r="F30" s="7" t="s">
        <v>25</v>
      </c>
      <c r="G30" s="19" t="s">
        <v>10</v>
      </c>
      <c r="H30" s="7" t="str" cm="1">
        <f t="array" ref="H30">_xlfn.IFS(Table1[[#This Row],[in_or_out]]="out", "Take_out",Table1[[#This Row],[in_or_out]]="in", "Dine_in", Table1[[#This Row],[in_or_out]]="","Unknown")</f>
        <v>Take_out</v>
      </c>
    </row>
    <row r="31" spans="1:8" ht="15.75">
      <c r="A31" s="18">
        <v>30</v>
      </c>
      <c r="B31" s="7" t="s">
        <v>70</v>
      </c>
      <c r="C31" s="12">
        <v>45334.364583333336</v>
      </c>
      <c r="D31" s="7" t="s">
        <v>32</v>
      </c>
      <c r="E31" s="7">
        <v>1</v>
      </c>
      <c r="F31" s="7" t="s">
        <v>71</v>
      </c>
      <c r="G31" s="19" t="s">
        <v>14</v>
      </c>
      <c r="H31" s="7" t="str" cm="1">
        <f t="array" ref="H31">_xlfn.IFS(Table1[[#This Row],[in_or_out]]="out", "Take_out",Table1[[#This Row],[in_or_out]]="in", "Dine_in", Table1[[#This Row],[in_or_out]]="","Unknown")</f>
        <v>Dine_in</v>
      </c>
    </row>
    <row r="32" spans="1:8" ht="15.75">
      <c r="A32" s="18">
        <v>31</v>
      </c>
      <c r="B32" s="7" t="s">
        <v>70</v>
      </c>
      <c r="C32" s="12">
        <v>45334.364583333336</v>
      </c>
      <c r="D32" s="7" t="s">
        <v>12</v>
      </c>
      <c r="E32" s="7">
        <v>1</v>
      </c>
      <c r="F32" s="7" t="s">
        <v>40</v>
      </c>
      <c r="G32" s="19" t="s">
        <v>789</v>
      </c>
      <c r="H32" s="7" t="str" cm="1">
        <f t="array" ref="H32">_xlfn.IFS(Table1[[#This Row],[in_or_out]]="out", "Take_out",Table1[[#This Row],[in_or_out]]="in", "Dine_in", Table1[[#This Row],[in_or_out]]="","Unknown")</f>
        <v>Unknown</v>
      </c>
    </row>
    <row r="33" spans="1:8" ht="15.75">
      <c r="A33" s="18">
        <v>32</v>
      </c>
      <c r="B33" s="7" t="s">
        <v>72</v>
      </c>
      <c r="C33" s="12">
        <v>45334.368055555555</v>
      </c>
      <c r="D33" s="7" t="s">
        <v>8</v>
      </c>
      <c r="E33" s="7">
        <v>1</v>
      </c>
      <c r="F33" s="7" t="s">
        <v>9</v>
      </c>
      <c r="G33" s="19" t="s">
        <v>10</v>
      </c>
      <c r="H33" s="7" t="str" cm="1">
        <f t="array" ref="H33">_xlfn.IFS(Table1[[#This Row],[in_or_out]]="out", "Take_out",Table1[[#This Row],[in_or_out]]="in", "Dine_in", Table1[[#This Row],[in_or_out]]="","Unknown")</f>
        <v>Take_out</v>
      </c>
    </row>
    <row r="34" spans="1:8" ht="15.75">
      <c r="A34" s="18">
        <v>33</v>
      </c>
      <c r="B34" s="7" t="s">
        <v>73</v>
      </c>
      <c r="C34" s="12">
        <v>45334.371527777781</v>
      </c>
      <c r="D34" s="7" t="s">
        <v>26</v>
      </c>
      <c r="E34" s="7">
        <v>1</v>
      </c>
      <c r="F34" s="7" t="s">
        <v>13</v>
      </c>
      <c r="G34" s="19" t="s">
        <v>10</v>
      </c>
      <c r="H34" s="7" t="str" cm="1">
        <f t="array" ref="H34">_xlfn.IFS(Table1[[#This Row],[in_or_out]]="out", "Take_out",Table1[[#This Row],[in_or_out]]="in", "Dine_in", Table1[[#This Row],[in_or_out]]="","Unknown")</f>
        <v>Take_out</v>
      </c>
    </row>
    <row r="35" spans="1:8" ht="15.75">
      <c r="A35" s="18">
        <v>34</v>
      </c>
      <c r="B35" s="7" t="s">
        <v>74</v>
      </c>
      <c r="C35" s="12">
        <v>45334.375</v>
      </c>
      <c r="D35" s="7" t="s">
        <v>32</v>
      </c>
      <c r="E35" s="7">
        <v>1</v>
      </c>
      <c r="F35" s="7" t="s">
        <v>16</v>
      </c>
      <c r="G35" s="19" t="s">
        <v>10</v>
      </c>
      <c r="H35" s="7" t="str" cm="1">
        <f t="array" ref="H35">_xlfn.IFS(Table1[[#This Row],[in_or_out]]="out", "Take_out",Table1[[#This Row],[in_or_out]]="in", "Dine_in", Table1[[#This Row],[in_or_out]]="","Unknown")</f>
        <v>Take_out</v>
      </c>
    </row>
    <row r="36" spans="1:8" ht="15.75">
      <c r="A36" s="18">
        <v>35</v>
      </c>
      <c r="B36" s="7" t="s">
        <v>75</v>
      </c>
      <c r="C36" s="12">
        <v>45334.37777777778</v>
      </c>
      <c r="D36" s="7" t="s">
        <v>18</v>
      </c>
      <c r="E36" s="7">
        <v>1</v>
      </c>
      <c r="F36" s="7" t="s">
        <v>19</v>
      </c>
      <c r="G36" s="19" t="s">
        <v>14</v>
      </c>
      <c r="H36" s="7" t="str" cm="1">
        <f t="array" ref="H36">_xlfn.IFS(Table1[[#This Row],[in_or_out]]="out", "Take_out",Table1[[#This Row],[in_or_out]]="in", "Dine_in", Table1[[#This Row],[in_or_out]]="","Unknown")</f>
        <v>Dine_in</v>
      </c>
    </row>
    <row r="37" spans="1:8" ht="15.75">
      <c r="A37" s="18">
        <v>36</v>
      </c>
      <c r="B37" s="7" t="s">
        <v>76</v>
      </c>
      <c r="C37" s="12">
        <v>45334.381249999999</v>
      </c>
      <c r="D37" s="7" t="s">
        <v>48</v>
      </c>
      <c r="E37" s="7">
        <v>1</v>
      </c>
      <c r="F37" s="7" t="s">
        <v>22</v>
      </c>
      <c r="G37" s="19" t="s">
        <v>10</v>
      </c>
      <c r="H37" s="7" t="str" cm="1">
        <f t="array" ref="H37">_xlfn.IFS(Table1[[#This Row],[in_or_out]]="out", "Take_out",Table1[[#This Row],[in_or_out]]="in", "Dine_in", Table1[[#This Row],[in_or_out]]="","Unknown")</f>
        <v>Take_out</v>
      </c>
    </row>
    <row r="38" spans="1:8" ht="15.75">
      <c r="A38" s="18">
        <v>37</v>
      </c>
      <c r="B38" s="7" t="s">
        <v>77</v>
      </c>
      <c r="C38" s="12">
        <v>45334.384722222225</v>
      </c>
      <c r="D38" s="7" t="s">
        <v>24</v>
      </c>
      <c r="E38" s="7">
        <v>1</v>
      </c>
      <c r="F38" s="7" t="s">
        <v>25</v>
      </c>
      <c r="G38" s="19" t="s">
        <v>14</v>
      </c>
      <c r="H38" s="7" t="str" cm="1">
        <f t="array" ref="H38">_xlfn.IFS(Table1[[#This Row],[in_or_out]]="out", "Take_out",Table1[[#This Row],[in_or_out]]="in", "Dine_in", Table1[[#This Row],[in_or_out]]="","Unknown")</f>
        <v>Dine_in</v>
      </c>
    </row>
    <row r="39" spans="1:8" ht="15.75">
      <c r="A39" s="18">
        <v>38</v>
      </c>
      <c r="B39" s="7" t="s">
        <v>77</v>
      </c>
      <c r="C39" s="12">
        <v>45334.384722222225</v>
      </c>
      <c r="D39" s="7" t="s">
        <v>26</v>
      </c>
      <c r="E39" s="7">
        <v>1</v>
      </c>
      <c r="F39" s="7" t="s">
        <v>25</v>
      </c>
      <c r="G39" s="19" t="s">
        <v>789</v>
      </c>
      <c r="H39" s="7" t="str" cm="1">
        <f t="array" ref="H39">_xlfn.IFS(Table1[[#This Row],[in_or_out]]="out", "Take_out",Table1[[#This Row],[in_or_out]]="in", "Dine_in", Table1[[#This Row],[in_or_out]]="","Unknown")</f>
        <v>Unknown</v>
      </c>
    </row>
    <row r="40" spans="1:8" ht="15.75">
      <c r="A40" s="18">
        <v>39</v>
      </c>
      <c r="B40" s="7" t="s">
        <v>78</v>
      </c>
      <c r="C40" s="12">
        <v>45334.388194444444</v>
      </c>
      <c r="D40" s="7" t="s">
        <v>28</v>
      </c>
      <c r="E40" s="7">
        <v>1</v>
      </c>
      <c r="F40" s="7" t="s">
        <v>29</v>
      </c>
      <c r="G40" s="19" t="s">
        <v>14</v>
      </c>
      <c r="H40" s="7" t="str" cm="1">
        <f t="array" ref="H40">_xlfn.IFS(Table1[[#This Row],[in_or_out]]="out", "Take_out",Table1[[#This Row],[in_or_out]]="in", "Dine_in", Table1[[#This Row],[in_or_out]]="","Unknown")</f>
        <v>Dine_in</v>
      </c>
    </row>
    <row r="41" spans="1:8" ht="15.75">
      <c r="A41" s="18">
        <v>40</v>
      </c>
      <c r="B41" s="7" t="s">
        <v>78</v>
      </c>
      <c r="C41" s="12">
        <v>45334.388194444444</v>
      </c>
      <c r="D41" s="7" t="s">
        <v>30</v>
      </c>
      <c r="E41" s="7">
        <v>1</v>
      </c>
      <c r="F41" s="7" t="s">
        <v>29</v>
      </c>
      <c r="G41" s="19" t="s">
        <v>789</v>
      </c>
      <c r="H41" s="7" t="str" cm="1">
        <f t="array" ref="H41">_xlfn.IFS(Table1[[#This Row],[in_or_out]]="out", "Take_out",Table1[[#This Row],[in_or_out]]="in", "Dine_in", Table1[[#This Row],[in_or_out]]="","Unknown")</f>
        <v>Unknown</v>
      </c>
    </row>
    <row r="42" spans="1:8" ht="15.75">
      <c r="A42" s="18">
        <v>41</v>
      </c>
      <c r="B42" s="7" t="s">
        <v>78</v>
      </c>
      <c r="C42" s="12">
        <v>45334.388194444444</v>
      </c>
      <c r="D42" s="7" t="s">
        <v>52</v>
      </c>
      <c r="E42" s="7">
        <v>1</v>
      </c>
      <c r="F42" s="7" t="s">
        <v>29</v>
      </c>
      <c r="G42" s="19" t="s">
        <v>789</v>
      </c>
      <c r="H42" s="7" t="str" cm="1">
        <f t="array" ref="H42">_xlfn.IFS(Table1[[#This Row],[in_or_out]]="out", "Take_out",Table1[[#This Row],[in_or_out]]="in", "Dine_in", Table1[[#This Row],[in_or_out]]="","Unknown")</f>
        <v>Unknown</v>
      </c>
    </row>
    <row r="43" spans="1:8" ht="15.75">
      <c r="A43" s="18">
        <v>42</v>
      </c>
      <c r="B43" s="7" t="s">
        <v>79</v>
      </c>
      <c r="C43" s="12">
        <v>45334.399305555555</v>
      </c>
      <c r="D43" s="7" t="s">
        <v>56</v>
      </c>
      <c r="E43" s="7">
        <v>1</v>
      </c>
      <c r="F43" s="7" t="s">
        <v>13</v>
      </c>
      <c r="G43" s="19" t="s">
        <v>10</v>
      </c>
      <c r="H43" s="7" t="str" cm="1">
        <f t="array" ref="H43">_xlfn.IFS(Table1[[#This Row],[in_or_out]]="out", "Take_out",Table1[[#This Row],[in_or_out]]="in", "Dine_in", Table1[[#This Row],[in_or_out]]="","Unknown")</f>
        <v>Take_out</v>
      </c>
    </row>
    <row r="44" spans="1:8" ht="15.75">
      <c r="A44" s="18">
        <v>43</v>
      </c>
      <c r="B44" s="7" t="s">
        <v>80</v>
      </c>
      <c r="C44" s="12">
        <v>45334.408333333333</v>
      </c>
      <c r="D44" s="7" t="s">
        <v>50</v>
      </c>
      <c r="E44" s="7">
        <v>1</v>
      </c>
      <c r="F44" s="7" t="s">
        <v>62</v>
      </c>
      <c r="G44" s="19" t="s">
        <v>10</v>
      </c>
      <c r="H44" s="7" t="str" cm="1">
        <f t="array" ref="H44">_xlfn.IFS(Table1[[#This Row],[in_or_out]]="out", "Take_out",Table1[[#This Row],[in_or_out]]="in", "Dine_in", Table1[[#This Row],[in_or_out]]="","Unknown")</f>
        <v>Take_out</v>
      </c>
    </row>
    <row r="45" spans="1:8" ht="15.75">
      <c r="A45" s="18">
        <v>44</v>
      </c>
      <c r="B45" s="7" t="s">
        <v>81</v>
      </c>
      <c r="C45" s="12">
        <v>45334.418055555558</v>
      </c>
      <c r="D45" s="7" t="s">
        <v>45</v>
      </c>
      <c r="E45" s="7">
        <v>1</v>
      </c>
      <c r="F45" s="7" t="s">
        <v>19</v>
      </c>
      <c r="G45" s="19" t="s">
        <v>10</v>
      </c>
      <c r="H45" s="7" t="str" cm="1">
        <f t="array" ref="H45">_xlfn.IFS(Table1[[#This Row],[in_or_out]]="out", "Take_out",Table1[[#This Row],[in_or_out]]="in", "Dine_in", Table1[[#This Row],[in_or_out]]="","Unknown")</f>
        <v>Take_out</v>
      </c>
    </row>
    <row r="46" spans="1:8" ht="15.75">
      <c r="A46" s="18">
        <v>45</v>
      </c>
      <c r="B46" s="7" t="s">
        <v>82</v>
      </c>
      <c r="C46" s="12">
        <v>45334.428472222222</v>
      </c>
      <c r="D46" s="7" t="s">
        <v>83</v>
      </c>
      <c r="E46" s="7">
        <v>1</v>
      </c>
      <c r="F46" s="7" t="s">
        <v>29</v>
      </c>
      <c r="G46" s="19" t="s">
        <v>10</v>
      </c>
      <c r="H46" s="7" t="str" cm="1">
        <f t="array" ref="H46">_xlfn.IFS(Table1[[#This Row],[in_or_out]]="out", "Take_out",Table1[[#This Row],[in_or_out]]="in", "Dine_in", Table1[[#This Row],[in_or_out]]="","Unknown")</f>
        <v>Take_out</v>
      </c>
    </row>
    <row r="47" spans="1:8" ht="15.75">
      <c r="A47" s="18">
        <v>46</v>
      </c>
      <c r="B47" s="7" t="s">
        <v>84</v>
      </c>
      <c r="C47" s="12">
        <v>45334.439583333333</v>
      </c>
      <c r="D47" s="7" t="s">
        <v>67</v>
      </c>
      <c r="E47" s="7">
        <v>1</v>
      </c>
      <c r="F47" s="7" t="s">
        <v>9</v>
      </c>
      <c r="G47" s="19" t="s">
        <v>14</v>
      </c>
      <c r="H47" s="7" t="str" cm="1">
        <f t="array" ref="H47">_xlfn.IFS(Table1[[#This Row],[in_or_out]]="out", "Take_out",Table1[[#This Row],[in_or_out]]="in", "Dine_in", Table1[[#This Row],[in_or_out]]="","Unknown")</f>
        <v>Dine_in</v>
      </c>
    </row>
    <row r="48" spans="1:8" ht="15.75">
      <c r="A48" s="18">
        <v>47</v>
      </c>
      <c r="B48" s="7" t="s">
        <v>85</v>
      </c>
      <c r="C48" s="12">
        <v>45334.451388888891</v>
      </c>
      <c r="D48" s="7" t="s">
        <v>48</v>
      </c>
      <c r="E48" s="7">
        <v>1</v>
      </c>
      <c r="F48" s="7" t="s">
        <v>22</v>
      </c>
      <c r="G48" s="19" t="s">
        <v>10</v>
      </c>
      <c r="H48" s="7" t="str" cm="1">
        <f t="array" ref="H48">_xlfn.IFS(Table1[[#This Row],[in_or_out]]="out", "Take_out",Table1[[#This Row],[in_or_out]]="in", "Dine_in", Table1[[#This Row],[in_or_out]]="","Unknown")</f>
        <v>Take_out</v>
      </c>
    </row>
    <row r="49" spans="1:8" ht="15.75">
      <c r="A49" s="18">
        <v>48</v>
      </c>
      <c r="B49" s="7" t="s">
        <v>86</v>
      </c>
      <c r="C49" s="12">
        <v>45334.463888888888</v>
      </c>
      <c r="D49" s="7" t="s">
        <v>34</v>
      </c>
      <c r="E49" s="7">
        <v>1</v>
      </c>
      <c r="F49" s="7" t="s">
        <v>16</v>
      </c>
      <c r="G49" s="19" t="s">
        <v>10</v>
      </c>
      <c r="H49" s="7" t="str" cm="1">
        <f t="array" ref="H49">_xlfn.IFS(Table1[[#This Row],[in_or_out]]="out", "Take_out",Table1[[#This Row],[in_or_out]]="in", "Dine_in", Table1[[#This Row],[in_or_out]]="","Unknown")</f>
        <v>Take_out</v>
      </c>
    </row>
    <row r="50" spans="1:8" ht="15.75">
      <c r="A50" s="18">
        <v>49</v>
      </c>
      <c r="B50" s="7" t="s">
        <v>87</v>
      </c>
      <c r="C50" s="12">
        <v>45334.477083333331</v>
      </c>
      <c r="D50" s="7" t="s">
        <v>28</v>
      </c>
      <c r="E50" s="7">
        <v>1</v>
      </c>
      <c r="F50" s="7" t="s">
        <v>37</v>
      </c>
      <c r="G50" s="19" t="s">
        <v>14</v>
      </c>
      <c r="H50" s="7" t="str" cm="1">
        <f t="array" ref="H50">_xlfn.IFS(Table1[[#This Row],[in_or_out]]="out", "Take_out",Table1[[#This Row],[in_or_out]]="in", "Dine_in", Table1[[#This Row],[in_or_out]]="","Unknown")</f>
        <v>Dine_in</v>
      </c>
    </row>
    <row r="51" spans="1:8" ht="15.75">
      <c r="A51" s="18">
        <v>50</v>
      </c>
      <c r="B51" s="7" t="s">
        <v>87</v>
      </c>
      <c r="C51" s="12">
        <v>45334.477083333331</v>
      </c>
      <c r="D51" s="7" t="s">
        <v>59</v>
      </c>
      <c r="E51" s="7">
        <v>1</v>
      </c>
      <c r="F51" s="7" t="s">
        <v>37</v>
      </c>
      <c r="G51" s="19" t="s">
        <v>789</v>
      </c>
      <c r="H51" s="7" t="str" cm="1">
        <f t="array" ref="H51">_xlfn.IFS(Table1[[#This Row],[in_or_out]]="out", "Take_out",Table1[[#This Row],[in_or_out]]="in", "Dine_in", Table1[[#This Row],[in_or_out]]="","Unknown")</f>
        <v>Unknown</v>
      </c>
    </row>
    <row r="52" spans="1:8" ht="15.75">
      <c r="A52" s="18">
        <v>51</v>
      </c>
      <c r="B52" s="7" t="s">
        <v>88</v>
      </c>
      <c r="C52" s="12">
        <v>45334.505555555559</v>
      </c>
      <c r="D52" s="7" t="s">
        <v>89</v>
      </c>
      <c r="E52" s="7">
        <v>1</v>
      </c>
      <c r="F52" s="7" t="s">
        <v>40</v>
      </c>
      <c r="G52" s="19" t="s">
        <v>14</v>
      </c>
      <c r="H52" s="7" t="str" cm="1">
        <f t="array" ref="H52">_xlfn.IFS(Table1[[#This Row],[in_or_out]]="out", "Take_out",Table1[[#This Row],[in_or_out]]="in", "Dine_in", Table1[[#This Row],[in_or_out]]="","Unknown")</f>
        <v>Dine_in</v>
      </c>
    </row>
    <row r="53" spans="1:8" ht="15.75">
      <c r="A53" s="18">
        <v>52</v>
      </c>
      <c r="B53" s="7" t="s">
        <v>88</v>
      </c>
      <c r="C53" s="12">
        <v>45334.505555555559</v>
      </c>
      <c r="D53" s="7" t="s">
        <v>42</v>
      </c>
      <c r="E53" s="7">
        <v>1</v>
      </c>
      <c r="F53" s="7" t="s">
        <v>40</v>
      </c>
      <c r="G53" s="19" t="s">
        <v>789</v>
      </c>
      <c r="H53" s="7" t="str" cm="1">
        <f t="array" ref="H53">_xlfn.IFS(Table1[[#This Row],[in_or_out]]="out", "Take_out",Table1[[#This Row],[in_or_out]]="in", "Dine_in", Table1[[#This Row],[in_or_out]]="","Unknown")</f>
        <v>Unknown</v>
      </c>
    </row>
    <row r="54" spans="1:8" ht="15.75">
      <c r="A54" s="18">
        <v>53</v>
      </c>
      <c r="B54" s="7" t="s">
        <v>88</v>
      </c>
      <c r="C54" s="12">
        <v>45334.505555555559</v>
      </c>
      <c r="D54" s="7" t="s">
        <v>26</v>
      </c>
      <c r="E54" s="7">
        <v>1</v>
      </c>
      <c r="F54" s="7" t="s">
        <v>40</v>
      </c>
      <c r="G54" s="19" t="s">
        <v>789</v>
      </c>
      <c r="H54" s="7" t="str" cm="1">
        <f t="array" ref="H54">_xlfn.IFS(Table1[[#This Row],[in_or_out]]="out", "Take_out",Table1[[#This Row],[in_or_out]]="in", "Dine_in", Table1[[#This Row],[in_or_out]]="","Unknown")</f>
        <v>Unknown</v>
      </c>
    </row>
    <row r="55" spans="1:8" ht="15.75">
      <c r="A55" s="18">
        <v>54</v>
      </c>
      <c r="B55" s="7" t="s">
        <v>90</v>
      </c>
      <c r="C55" s="12">
        <v>45334.506944444445</v>
      </c>
      <c r="D55" s="7" t="s">
        <v>28</v>
      </c>
      <c r="E55" s="7">
        <v>1</v>
      </c>
      <c r="F55" s="7" t="s">
        <v>29</v>
      </c>
      <c r="G55" s="19" t="s">
        <v>10</v>
      </c>
      <c r="H55" s="7" t="str" cm="1">
        <f t="array" ref="H55">_xlfn.IFS(Table1[[#This Row],[in_or_out]]="out", "Take_out",Table1[[#This Row],[in_or_out]]="in", "Dine_in", Table1[[#This Row],[in_or_out]]="","Unknown")</f>
        <v>Take_out</v>
      </c>
    </row>
    <row r="56" spans="1:8" ht="15.75">
      <c r="A56" s="18">
        <v>55</v>
      </c>
      <c r="B56" s="7" t="s">
        <v>90</v>
      </c>
      <c r="C56" s="12">
        <v>45334.506944444445</v>
      </c>
      <c r="D56" s="7" t="s">
        <v>30</v>
      </c>
      <c r="E56" s="7">
        <v>1</v>
      </c>
      <c r="F56" s="7" t="s">
        <v>29</v>
      </c>
      <c r="G56" s="19" t="s">
        <v>789</v>
      </c>
      <c r="H56" s="7" t="str" cm="1">
        <f t="array" ref="H56">_xlfn.IFS(Table1[[#This Row],[in_or_out]]="out", "Take_out",Table1[[#This Row],[in_or_out]]="in", "Dine_in", Table1[[#This Row],[in_or_out]]="","Unknown")</f>
        <v>Unknown</v>
      </c>
    </row>
    <row r="57" spans="1:8" ht="15.75">
      <c r="A57" s="18">
        <v>56</v>
      </c>
      <c r="B57" s="7" t="s">
        <v>91</v>
      </c>
      <c r="C57" s="12">
        <v>45334.507638888892</v>
      </c>
      <c r="D57" s="7" t="s">
        <v>32</v>
      </c>
      <c r="E57" s="7">
        <v>1</v>
      </c>
      <c r="F57" s="7" t="s">
        <v>33</v>
      </c>
      <c r="G57" s="19" t="s">
        <v>10</v>
      </c>
      <c r="H57" s="7" t="str" cm="1">
        <f t="array" ref="H57">_xlfn.IFS(Table1[[#This Row],[in_or_out]]="out", "Take_out",Table1[[#This Row],[in_or_out]]="in", "Dine_in", Table1[[#This Row],[in_or_out]]="","Unknown")</f>
        <v>Take_out</v>
      </c>
    </row>
    <row r="58" spans="1:8" ht="15.75">
      <c r="A58" s="18">
        <v>57</v>
      </c>
      <c r="B58" s="7" t="s">
        <v>91</v>
      </c>
      <c r="C58" s="12">
        <v>45334.507638888892</v>
      </c>
      <c r="D58" s="7" t="s">
        <v>34</v>
      </c>
      <c r="E58" s="7">
        <v>1</v>
      </c>
      <c r="F58" s="7" t="s">
        <v>33</v>
      </c>
      <c r="G58" s="19" t="s">
        <v>789</v>
      </c>
      <c r="H58" s="7" t="str" cm="1">
        <f t="array" ref="H58">_xlfn.IFS(Table1[[#This Row],[in_or_out]]="out", "Take_out",Table1[[#This Row],[in_or_out]]="in", "Dine_in", Table1[[#This Row],[in_or_out]]="","Unknown")</f>
        <v>Unknown</v>
      </c>
    </row>
    <row r="59" spans="1:8" ht="15.75">
      <c r="A59" s="18">
        <v>58</v>
      </c>
      <c r="B59" s="7" t="s">
        <v>92</v>
      </c>
      <c r="C59" s="12">
        <v>45334.511111111111</v>
      </c>
      <c r="D59" s="7" t="s">
        <v>36</v>
      </c>
      <c r="E59" s="7">
        <v>1</v>
      </c>
      <c r="F59" s="7" t="s">
        <v>37</v>
      </c>
      <c r="G59" s="19" t="s">
        <v>14</v>
      </c>
      <c r="H59" s="7" t="str" cm="1">
        <f t="array" ref="H59">_xlfn.IFS(Table1[[#This Row],[in_or_out]]="out", "Take_out",Table1[[#This Row],[in_or_out]]="in", "Dine_in", Table1[[#This Row],[in_or_out]]="","Unknown")</f>
        <v>Dine_in</v>
      </c>
    </row>
    <row r="60" spans="1:8" ht="15.75">
      <c r="A60" s="18">
        <v>59</v>
      </c>
      <c r="B60" s="7" t="s">
        <v>92</v>
      </c>
      <c r="C60" s="12">
        <v>45334.511111111111</v>
      </c>
      <c r="D60" s="7" t="s">
        <v>38</v>
      </c>
      <c r="E60" s="7">
        <v>1</v>
      </c>
      <c r="F60" s="7" t="s">
        <v>37</v>
      </c>
      <c r="G60" s="19" t="s">
        <v>789</v>
      </c>
      <c r="H60" s="7" t="str" cm="1">
        <f t="array" ref="H60">_xlfn.IFS(Table1[[#This Row],[in_or_out]]="out", "Take_out",Table1[[#This Row],[in_or_out]]="in", "Dine_in", Table1[[#This Row],[in_or_out]]="","Unknown")</f>
        <v>Unknown</v>
      </c>
    </row>
    <row r="61" spans="1:8" ht="15.75">
      <c r="A61" s="18">
        <v>60</v>
      </c>
      <c r="B61" s="7" t="s">
        <v>92</v>
      </c>
      <c r="C61" s="12">
        <v>45334.511111111111</v>
      </c>
      <c r="D61" s="7" t="s">
        <v>38</v>
      </c>
      <c r="E61" s="7">
        <v>1</v>
      </c>
      <c r="F61" s="7" t="s">
        <v>37</v>
      </c>
      <c r="G61" s="19" t="s">
        <v>789</v>
      </c>
      <c r="H61" s="7" t="str" cm="1">
        <f t="array" ref="H61">_xlfn.IFS(Table1[[#This Row],[in_or_out]]="out", "Take_out",Table1[[#This Row],[in_or_out]]="in", "Dine_in", Table1[[#This Row],[in_or_out]]="","Unknown")</f>
        <v>Unknown</v>
      </c>
    </row>
    <row r="62" spans="1:8" ht="15.75">
      <c r="A62" s="18">
        <v>61</v>
      </c>
      <c r="B62" s="7" t="s">
        <v>93</v>
      </c>
      <c r="C62" s="12">
        <v>45334.512499999997</v>
      </c>
      <c r="D62" s="7" t="s">
        <v>56</v>
      </c>
      <c r="E62" s="7">
        <v>1</v>
      </c>
      <c r="F62" s="7" t="s">
        <v>16</v>
      </c>
      <c r="G62" s="19" t="s">
        <v>10</v>
      </c>
      <c r="H62" s="7" t="str" cm="1">
        <f t="array" ref="H62">_xlfn.IFS(Table1[[#This Row],[in_or_out]]="out", "Take_out",Table1[[#This Row],[in_or_out]]="in", "Dine_in", Table1[[#This Row],[in_or_out]]="","Unknown")</f>
        <v>Take_out</v>
      </c>
    </row>
    <row r="63" spans="1:8" ht="15.75">
      <c r="A63" s="18">
        <v>62</v>
      </c>
      <c r="B63" s="7" t="s">
        <v>94</v>
      </c>
      <c r="C63" s="12">
        <v>45334.51458333333</v>
      </c>
      <c r="D63" s="7" t="s">
        <v>54</v>
      </c>
      <c r="E63" s="7">
        <v>1</v>
      </c>
      <c r="F63" s="7" t="s">
        <v>22</v>
      </c>
      <c r="G63" s="19" t="s">
        <v>10</v>
      </c>
      <c r="H63" s="7" t="str" cm="1">
        <f t="array" ref="H63">_xlfn.IFS(Table1[[#This Row],[in_or_out]]="out", "Take_out",Table1[[#This Row],[in_or_out]]="in", "Dine_in", Table1[[#This Row],[in_or_out]]="","Unknown")</f>
        <v>Take_out</v>
      </c>
    </row>
    <row r="64" spans="1:8" ht="15.75">
      <c r="A64" s="18">
        <v>63</v>
      </c>
      <c r="B64" s="7" t="s">
        <v>95</v>
      </c>
      <c r="C64" s="12">
        <v>45334.515972222223</v>
      </c>
      <c r="D64" s="7" t="s">
        <v>34</v>
      </c>
      <c r="E64" s="7">
        <v>1</v>
      </c>
      <c r="F64" s="7" t="s">
        <v>29</v>
      </c>
      <c r="G64" s="19" t="s">
        <v>10</v>
      </c>
      <c r="H64" s="7" t="str" cm="1">
        <f t="array" ref="H64">_xlfn.IFS(Table1[[#This Row],[in_or_out]]="out", "Take_out",Table1[[#This Row],[in_or_out]]="in", "Dine_in", Table1[[#This Row],[in_or_out]]="","Unknown")</f>
        <v>Take_out</v>
      </c>
    </row>
    <row r="65" spans="1:8" ht="15.75">
      <c r="A65" s="18">
        <v>64</v>
      </c>
      <c r="B65" s="7" t="s">
        <v>96</v>
      </c>
      <c r="C65" s="12">
        <v>45334.518055555556</v>
      </c>
      <c r="D65" s="7" t="s">
        <v>67</v>
      </c>
      <c r="E65" s="7">
        <v>1</v>
      </c>
      <c r="F65" s="7" t="s">
        <v>9</v>
      </c>
      <c r="G65" s="19" t="s">
        <v>14</v>
      </c>
      <c r="H65" s="7" t="str" cm="1">
        <f t="array" ref="H65">_xlfn.IFS(Table1[[#This Row],[in_or_out]]="out", "Take_out",Table1[[#This Row],[in_or_out]]="in", "Dine_in", Table1[[#This Row],[in_or_out]]="","Unknown")</f>
        <v>Dine_in</v>
      </c>
    </row>
    <row r="66" spans="1:8" ht="15.75">
      <c r="A66" s="18">
        <v>65</v>
      </c>
      <c r="B66" s="7" t="s">
        <v>97</v>
      </c>
      <c r="C66" s="12">
        <v>45334.520138888889</v>
      </c>
      <c r="D66" s="7" t="s">
        <v>48</v>
      </c>
      <c r="E66" s="7">
        <v>1</v>
      </c>
      <c r="F66" s="7" t="s">
        <v>19</v>
      </c>
      <c r="G66" s="19" t="s">
        <v>10</v>
      </c>
      <c r="H66" s="7" t="str" cm="1">
        <f t="array" ref="H66">_xlfn.IFS(Table1[[#This Row],[in_or_out]]="out", "Take_out",Table1[[#This Row],[in_or_out]]="in", "Dine_in", Table1[[#This Row],[in_or_out]]="","Unknown")</f>
        <v>Take_out</v>
      </c>
    </row>
    <row r="67" spans="1:8" ht="15.75">
      <c r="A67" s="18">
        <v>66</v>
      </c>
      <c r="B67" s="7" t="s">
        <v>98</v>
      </c>
      <c r="C67" s="12">
        <v>45334.522222222222</v>
      </c>
      <c r="D67" s="7" t="s">
        <v>48</v>
      </c>
      <c r="E67" s="7">
        <v>1</v>
      </c>
      <c r="F67" s="7" t="s">
        <v>43</v>
      </c>
      <c r="G67" s="19" t="s">
        <v>10</v>
      </c>
      <c r="H67" s="7" t="str" cm="1">
        <f t="array" ref="H67">_xlfn.IFS(Table1[[#This Row],[in_or_out]]="out", "Take_out",Table1[[#This Row],[in_or_out]]="in", "Dine_in", Table1[[#This Row],[in_or_out]]="","Unknown")</f>
        <v>Take_out</v>
      </c>
    </row>
    <row r="68" spans="1:8" ht="15.75">
      <c r="A68" s="18">
        <v>67</v>
      </c>
      <c r="B68" s="7" t="s">
        <v>99</v>
      </c>
      <c r="C68" s="12">
        <v>45334.524305555555</v>
      </c>
      <c r="D68" s="7" t="s">
        <v>52</v>
      </c>
      <c r="E68" s="7">
        <v>1</v>
      </c>
      <c r="F68" s="7" t="s">
        <v>13</v>
      </c>
      <c r="G68" s="19" t="s">
        <v>10</v>
      </c>
      <c r="H68" s="7" t="str" cm="1">
        <f t="array" ref="H68">_xlfn.IFS(Table1[[#This Row],[in_or_out]]="out", "Take_out",Table1[[#This Row],[in_or_out]]="in", "Dine_in", Table1[[#This Row],[in_or_out]]="","Unknown")</f>
        <v>Take_out</v>
      </c>
    </row>
    <row r="69" spans="1:8" ht="15.75">
      <c r="A69" s="18">
        <v>68</v>
      </c>
      <c r="B69" s="7" t="s">
        <v>100</v>
      </c>
      <c r="C69" s="12">
        <v>45334.526388888888</v>
      </c>
      <c r="D69" s="7" t="s">
        <v>28</v>
      </c>
      <c r="E69" s="7">
        <v>1</v>
      </c>
      <c r="F69" s="7" t="s">
        <v>40</v>
      </c>
      <c r="G69" s="19" t="s">
        <v>14</v>
      </c>
      <c r="H69" s="7" t="str" cm="1">
        <f t="array" ref="H69">_xlfn.IFS(Table1[[#This Row],[in_or_out]]="out", "Take_out",Table1[[#This Row],[in_or_out]]="in", "Dine_in", Table1[[#This Row],[in_or_out]]="","Unknown")</f>
        <v>Dine_in</v>
      </c>
    </row>
    <row r="70" spans="1:8" ht="15.75">
      <c r="A70" s="18">
        <v>69</v>
      </c>
      <c r="B70" s="7" t="s">
        <v>101</v>
      </c>
      <c r="C70" s="12">
        <v>45334.52847222222</v>
      </c>
      <c r="D70" s="7" t="s">
        <v>18</v>
      </c>
      <c r="E70" s="7">
        <v>1</v>
      </c>
      <c r="F70" s="7" t="s">
        <v>25</v>
      </c>
      <c r="G70" s="19" t="s">
        <v>10</v>
      </c>
      <c r="H70" s="7" t="str" cm="1">
        <f t="array" ref="H70">_xlfn.IFS(Table1[[#This Row],[in_or_out]]="out", "Take_out",Table1[[#This Row],[in_or_out]]="in", "Dine_in", Table1[[#This Row],[in_or_out]]="","Unknown")</f>
        <v>Take_out</v>
      </c>
    </row>
    <row r="71" spans="1:8" ht="15.75">
      <c r="A71" s="18">
        <v>70</v>
      </c>
      <c r="B71" s="7" t="s">
        <v>102</v>
      </c>
      <c r="C71" s="12">
        <v>45334.530555555553</v>
      </c>
      <c r="D71" s="7" t="s">
        <v>30</v>
      </c>
      <c r="E71" s="7">
        <v>1</v>
      </c>
      <c r="F71" s="7" t="s">
        <v>62</v>
      </c>
      <c r="G71" s="19" t="s">
        <v>14</v>
      </c>
      <c r="H71" s="7" t="str" cm="1">
        <f t="array" ref="H71">_xlfn.IFS(Table1[[#This Row],[in_or_out]]="out", "Take_out",Table1[[#This Row],[in_or_out]]="in", "Dine_in", Table1[[#This Row],[in_or_out]]="","Unknown")</f>
        <v>Dine_in</v>
      </c>
    </row>
    <row r="72" spans="1:8" ht="15.75">
      <c r="A72" s="18">
        <v>71</v>
      </c>
      <c r="B72" s="7" t="s">
        <v>103</v>
      </c>
      <c r="C72" s="12">
        <v>45334.532638888886</v>
      </c>
      <c r="D72" s="7" t="s">
        <v>50</v>
      </c>
      <c r="E72" s="7">
        <v>1</v>
      </c>
      <c r="F72" s="7" t="s">
        <v>33</v>
      </c>
      <c r="G72" s="19" t="s">
        <v>10</v>
      </c>
      <c r="H72" s="7" t="str" cm="1">
        <f t="array" ref="H72">_xlfn.IFS(Table1[[#This Row],[in_or_out]]="out", "Take_out",Table1[[#This Row],[in_or_out]]="in", "Dine_in", Table1[[#This Row],[in_or_out]]="","Unknown")</f>
        <v>Take_out</v>
      </c>
    </row>
    <row r="73" spans="1:8" ht="15.75">
      <c r="A73" s="18">
        <v>72</v>
      </c>
      <c r="B73" s="7" t="s">
        <v>104</v>
      </c>
      <c r="C73" s="12">
        <v>45334.534722222219</v>
      </c>
      <c r="D73" s="7" t="s">
        <v>12</v>
      </c>
      <c r="E73" s="7">
        <v>1</v>
      </c>
      <c r="F73" s="7" t="s">
        <v>105</v>
      </c>
      <c r="G73" s="19" t="s">
        <v>14</v>
      </c>
      <c r="H73" s="7" t="str" cm="1">
        <f t="array" ref="H73">_xlfn.IFS(Table1[[#This Row],[in_or_out]]="out", "Take_out",Table1[[#This Row],[in_or_out]]="in", "Dine_in", Table1[[#This Row],[in_or_out]]="","Unknown")</f>
        <v>Dine_in</v>
      </c>
    </row>
    <row r="74" spans="1:8" ht="15.75">
      <c r="A74" s="18">
        <v>73</v>
      </c>
      <c r="B74" s="7" t="s">
        <v>106</v>
      </c>
      <c r="C74" s="12">
        <v>45334.536805555559</v>
      </c>
      <c r="D74" s="7" t="s">
        <v>26</v>
      </c>
      <c r="E74" s="7">
        <v>1</v>
      </c>
      <c r="F74" s="7" t="s">
        <v>37</v>
      </c>
      <c r="G74" s="19" t="s">
        <v>10</v>
      </c>
      <c r="H74" s="7" t="str" cm="1">
        <f t="array" ref="H74">_xlfn.IFS(Table1[[#This Row],[in_or_out]]="out", "Take_out",Table1[[#This Row],[in_or_out]]="in", "Dine_in", Table1[[#This Row],[in_or_out]]="","Unknown")</f>
        <v>Take_out</v>
      </c>
    </row>
    <row r="75" spans="1:8" ht="15.75">
      <c r="A75" s="18">
        <v>74</v>
      </c>
      <c r="B75" s="7" t="s">
        <v>107</v>
      </c>
      <c r="C75" s="12">
        <v>45334.538888888892</v>
      </c>
      <c r="D75" s="7" t="s">
        <v>36</v>
      </c>
      <c r="E75" s="7">
        <v>1</v>
      </c>
      <c r="F75" s="7" t="s">
        <v>16</v>
      </c>
      <c r="G75" s="19" t="s">
        <v>10</v>
      </c>
      <c r="H75" s="7" t="str" cm="1">
        <f t="array" ref="H75">_xlfn.IFS(Table1[[#This Row],[in_or_out]]="out", "Take_out",Table1[[#This Row],[in_or_out]]="in", "Dine_in", Table1[[#This Row],[in_or_out]]="","Unknown")</f>
        <v>Take_out</v>
      </c>
    </row>
    <row r="76" spans="1:8" ht="15.75">
      <c r="A76" s="18">
        <v>75</v>
      </c>
      <c r="B76" s="7" t="s">
        <v>108</v>
      </c>
      <c r="C76" s="12">
        <v>45334.540972222225</v>
      </c>
      <c r="D76" s="7" t="s">
        <v>30</v>
      </c>
      <c r="E76" s="7">
        <v>1</v>
      </c>
      <c r="F76" s="7" t="s">
        <v>22</v>
      </c>
      <c r="G76" s="19" t="s">
        <v>10</v>
      </c>
      <c r="H76" s="7" t="str" cm="1">
        <f t="array" ref="H76">_xlfn.IFS(Table1[[#This Row],[in_or_out]]="out", "Take_out",Table1[[#This Row],[in_or_out]]="in", "Dine_in", Table1[[#This Row],[in_or_out]]="","Unknown")</f>
        <v>Take_out</v>
      </c>
    </row>
    <row r="77" spans="1:8" ht="15.75">
      <c r="A77" s="18">
        <v>76</v>
      </c>
      <c r="B77" s="7" t="s">
        <v>109</v>
      </c>
      <c r="C77" s="12">
        <v>45334.543055555558</v>
      </c>
      <c r="D77" s="7" t="s">
        <v>110</v>
      </c>
      <c r="E77" s="7">
        <v>1</v>
      </c>
      <c r="F77" s="7" t="s">
        <v>29</v>
      </c>
      <c r="G77" s="19" t="s">
        <v>14</v>
      </c>
      <c r="H77" s="7" t="str" cm="1">
        <f t="array" ref="H77">_xlfn.IFS(Table1[[#This Row],[in_or_out]]="out", "Take_out",Table1[[#This Row],[in_or_out]]="in", "Dine_in", Table1[[#This Row],[in_or_out]]="","Unknown")</f>
        <v>Dine_in</v>
      </c>
    </row>
    <row r="78" spans="1:8" ht="15.75">
      <c r="A78" s="18">
        <v>77</v>
      </c>
      <c r="B78" s="7" t="s">
        <v>111</v>
      </c>
      <c r="C78" s="12">
        <v>45334.545138888891</v>
      </c>
      <c r="D78" s="7" t="s">
        <v>24</v>
      </c>
      <c r="E78" s="7">
        <v>1</v>
      </c>
      <c r="F78" s="7" t="s">
        <v>9</v>
      </c>
      <c r="G78" s="19" t="s">
        <v>10</v>
      </c>
      <c r="H78" s="7" t="str" cm="1">
        <f t="array" ref="H78">_xlfn.IFS(Table1[[#This Row],[in_or_out]]="out", "Take_out",Table1[[#This Row],[in_or_out]]="in", "Dine_in", Table1[[#This Row],[in_or_out]]="","Unknown")</f>
        <v>Take_out</v>
      </c>
    </row>
    <row r="79" spans="1:8" ht="15.75">
      <c r="A79" s="18">
        <v>78</v>
      </c>
      <c r="B79" s="7" t="s">
        <v>112</v>
      </c>
      <c r="C79" s="12">
        <v>45334.547222222223</v>
      </c>
      <c r="D79" s="7" t="s">
        <v>42</v>
      </c>
      <c r="E79" s="7">
        <v>1</v>
      </c>
      <c r="F79" s="7" t="s">
        <v>19</v>
      </c>
      <c r="G79" s="19" t="s">
        <v>14</v>
      </c>
      <c r="H79" s="7" t="str" cm="1">
        <f t="array" ref="H79">_xlfn.IFS(Table1[[#This Row],[in_or_out]]="out", "Take_out",Table1[[#This Row],[in_or_out]]="in", "Dine_in", Table1[[#This Row],[in_or_out]]="","Unknown")</f>
        <v>Dine_in</v>
      </c>
    </row>
    <row r="80" spans="1:8" ht="15.75">
      <c r="A80" s="18">
        <v>79</v>
      </c>
      <c r="B80" s="7" t="s">
        <v>113</v>
      </c>
      <c r="C80" s="12">
        <v>45334.549305555556</v>
      </c>
      <c r="D80" s="7" t="s">
        <v>8</v>
      </c>
      <c r="E80" s="7">
        <v>1</v>
      </c>
      <c r="F80" s="7" t="s">
        <v>43</v>
      </c>
      <c r="G80" s="19" t="s">
        <v>10</v>
      </c>
      <c r="H80" s="7" t="str" cm="1">
        <f t="array" ref="H80">_xlfn.IFS(Table1[[#This Row],[in_or_out]]="out", "Take_out",Table1[[#This Row],[in_or_out]]="in", "Dine_in", Table1[[#This Row],[in_or_out]]="","Unknown")</f>
        <v>Take_out</v>
      </c>
    </row>
    <row r="81" spans="1:8" ht="15.75">
      <c r="A81" s="18">
        <v>80</v>
      </c>
      <c r="B81" s="7" t="s">
        <v>114</v>
      </c>
      <c r="C81" s="12">
        <v>45334.550694444442</v>
      </c>
      <c r="D81" s="7" t="s">
        <v>59</v>
      </c>
      <c r="E81" s="7">
        <v>1</v>
      </c>
      <c r="F81" s="7" t="s">
        <v>62</v>
      </c>
      <c r="G81" s="19" t="s">
        <v>14</v>
      </c>
      <c r="H81" s="7" t="str" cm="1">
        <f t="array" ref="H81">_xlfn.IFS(Table1[[#This Row],[in_or_out]]="out", "Take_out",Table1[[#This Row],[in_or_out]]="in", "Dine_in", Table1[[#This Row],[in_or_out]]="","Unknown")</f>
        <v>Dine_in</v>
      </c>
    </row>
    <row r="82" spans="1:8" ht="15.75">
      <c r="A82" s="18">
        <v>81</v>
      </c>
      <c r="B82" s="7" t="s">
        <v>114</v>
      </c>
      <c r="C82" s="12">
        <v>45334.550694444442</v>
      </c>
      <c r="D82" s="7" t="s">
        <v>45</v>
      </c>
      <c r="E82" s="7">
        <v>1</v>
      </c>
      <c r="F82" s="7" t="s">
        <v>62</v>
      </c>
      <c r="G82" s="19" t="s">
        <v>789</v>
      </c>
      <c r="H82" s="7" t="str" cm="1">
        <f t="array" ref="H82">_xlfn.IFS(Table1[[#This Row],[in_or_out]]="out", "Take_out",Table1[[#This Row],[in_or_out]]="in", "Dine_in", Table1[[#This Row],[in_or_out]]="","Unknown")</f>
        <v>Unknown</v>
      </c>
    </row>
    <row r="83" spans="1:8" ht="15.75">
      <c r="A83" s="18">
        <v>82</v>
      </c>
      <c r="B83" s="7" t="s">
        <v>115</v>
      </c>
      <c r="C83" s="12">
        <v>45334.552083333336</v>
      </c>
      <c r="D83" s="7" t="s">
        <v>18</v>
      </c>
      <c r="E83" s="7">
        <v>1</v>
      </c>
      <c r="F83" s="7" t="s">
        <v>13</v>
      </c>
      <c r="G83" s="19" t="s">
        <v>10</v>
      </c>
      <c r="H83" s="7" t="str" cm="1">
        <f t="array" ref="H83">_xlfn.IFS(Table1[[#This Row],[in_or_out]]="out", "Take_out",Table1[[#This Row],[in_or_out]]="in", "Dine_in", Table1[[#This Row],[in_or_out]]="","Unknown")</f>
        <v>Take_out</v>
      </c>
    </row>
    <row r="84" spans="1:8" ht="15.75">
      <c r="A84" s="18">
        <v>83</v>
      </c>
      <c r="B84" s="7" t="s">
        <v>116</v>
      </c>
      <c r="C84" s="12">
        <v>45334.553472222222</v>
      </c>
      <c r="D84" s="7" t="s">
        <v>50</v>
      </c>
      <c r="E84" s="7">
        <v>1</v>
      </c>
      <c r="F84" s="7" t="s">
        <v>105</v>
      </c>
      <c r="G84" s="19" t="s">
        <v>10</v>
      </c>
      <c r="H84" s="7" t="str" cm="1">
        <f t="array" ref="H84">_xlfn.IFS(Table1[[#This Row],[in_or_out]]="out", "Take_out",Table1[[#This Row],[in_or_out]]="in", "Dine_in", Table1[[#This Row],[in_or_out]]="","Unknown")</f>
        <v>Take_out</v>
      </c>
    </row>
    <row r="85" spans="1:8" ht="15.75">
      <c r="A85" s="18">
        <v>84</v>
      </c>
      <c r="B85" s="7" t="s">
        <v>116</v>
      </c>
      <c r="C85" s="12">
        <v>45334.553472222222</v>
      </c>
      <c r="D85" s="7" t="s">
        <v>28</v>
      </c>
      <c r="E85" s="7">
        <v>1</v>
      </c>
      <c r="F85" s="7" t="s">
        <v>105</v>
      </c>
      <c r="G85" s="19" t="s">
        <v>789</v>
      </c>
      <c r="H85" s="7" t="str" cm="1">
        <f t="array" ref="H85">_xlfn.IFS(Table1[[#This Row],[in_or_out]]="out", "Take_out",Table1[[#This Row],[in_or_out]]="in", "Dine_in", Table1[[#This Row],[in_or_out]]="","Unknown")</f>
        <v>Unknown</v>
      </c>
    </row>
    <row r="86" spans="1:8" ht="15.75">
      <c r="A86" s="18">
        <v>85</v>
      </c>
      <c r="B86" s="7" t="s">
        <v>116</v>
      </c>
      <c r="C86" s="12">
        <v>45334.553472222222</v>
      </c>
      <c r="D86" s="7" t="s">
        <v>12</v>
      </c>
      <c r="E86" s="7">
        <v>1</v>
      </c>
      <c r="F86" s="7" t="s">
        <v>105</v>
      </c>
      <c r="G86" s="19" t="s">
        <v>789</v>
      </c>
      <c r="H86" s="7" t="str" cm="1">
        <f t="array" ref="H86">_xlfn.IFS(Table1[[#This Row],[in_or_out]]="out", "Take_out",Table1[[#This Row],[in_or_out]]="in", "Dine_in", Table1[[#This Row],[in_or_out]]="","Unknown")</f>
        <v>Unknown</v>
      </c>
    </row>
    <row r="87" spans="1:8" ht="15.75">
      <c r="A87" s="18">
        <v>86</v>
      </c>
      <c r="B87" s="7" t="s">
        <v>117</v>
      </c>
      <c r="C87" s="12">
        <v>45334.555555555555</v>
      </c>
      <c r="D87" s="7" t="s">
        <v>56</v>
      </c>
      <c r="E87" s="7">
        <v>1</v>
      </c>
      <c r="F87" s="7" t="s">
        <v>19</v>
      </c>
      <c r="G87" s="19" t="s">
        <v>14</v>
      </c>
      <c r="H87" s="7" t="str" cm="1">
        <f t="array" ref="H87">_xlfn.IFS(Table1[[#This Row],[in_or_out]]="out", "Take_out",Table1[[#This Row],[in_or_out]]="in", "Dine_in", Table1[[#This Row],[in_or_out]]="","Unknown")</f>
        <v>Dine_in</v>
      </c>
    </row>
    <row r="88" spans="1:8" ht="15.75">
      <c r="A88" s="18">
        <v>87</v>
      </c>
      <c r="B88" s="7" t="s">
        <v>117</v>
      </c>
      <c r="C88" s="12">
        <v>45334.555555555555</v>
      </c>
      <c r="D88" s="7" t="s">
        <v>42</v>
      </c>
      <c r="E88" s="7">
        <v>1</v>
      </c>
      <c r="F88" s="7" t="s">
        <v>19</v>
      </c>
      <c r="G88" s="19" t="s">
        <v>789</v>
      </c>
      <c r="H88" s="7" t="str" cm="1">
        <f t="array" ref="H88">_xlfn.IFS(Table1[[#This Row],[in_or_out]]="out", "Take_out",Table1[[#This Row],[in_or_out]]="in", "Dine_in", Table1[[#This Row],[in_or_out]]="","Unknown")</f>
        <v>Unknown</v>
      </c>
    </row>
    <row r="89" spans="1:8" ht="15.75">
      <c r="A89" s="18">
        <v>88</v>
      </c>
      <c r="B89" s="7" t="s">
        <v>118</v>
      </c>
      <c r="C89" s="12">
        <v>45334.556944444441</v>
      </c>
      <c r="D89" s="7" t="s">
        <v>52</v>
      </c>
      <c r="E89" s="7">
        <v>1</v>
      </c>
      <c r="F89" s="7" t="s">
        <v>16</v>
      </c>
      <c r="G89" s="19" t="s">
        <v>10</v>
      </c>
      <c r="H89" s="7" t="str" cm="1">
        <f t="array" ref="H89">_xlfn.IFS(Table1[[#This Row],[in_or_out]]="out", "Take_out",Table1[[#This Row],[in_or_out]]="in", "Dine_in", Table1[[#This Row],[in_or_out]]="","Unknown")</f>
        <v>Take_out</v>
      </c>
    </row>
    <row r="90" spans="1:8" ht="15.75">
      <c r="A90" s="18">
        <v>89</v>
      </c>
      <c r="B90" s="7" t="s">
        <v>118</v>
      </c>
      <c r="C90" s="12">
        <v>45334.556944444441</v>
      </c>
      <c r="D90" s="7" t="s">
        <v>48</v>
      </c>
      <c r="E90" s="7">
        <v>1</v>
      </c>
      <c r="F90" s="7" t="s">
        <v>16</v>
      </c>
      <c r="G90" s="19" t="s">
        <v>789</v>
      </c>
      <c r="H90" s="7" t="str" cm="1">
        <f t="array" ref="H90">_xlfn.IFS(Table1[[#This Row],[in_or_out]]="out", "Take_out",Table1[[#This Row],[in_or_out]]="in", "Dine_in", Table1[[#This Row],[in_or_out]]="","Unknown")</f>
        <v>Unknown</v>
      </c>
    </row>
    <row r="91" spans="1:8" ht="15.75">
      <c r="A91" s="18">
        <v>90</v>
      </c>
      <c r="B91" s="7" t="s">
        <v>119</v>
      </c>
      <c r="C91" s="12">
        <v>45334.559027777781</v>
      </c>
      <c r="D91" s="7" t="s">
        <v>34</v>
      </c>
      <c r="E91" s="7">
        <v>1</v>
      </c>
      <c r="F91" s="7" t="s">
        <v>29</v>
      </c>
      <c r="G91" s="19" t="s">
        <v>10</v>
      </c>
      <c r="H91" s="7" t="str" cm="1">
        <f t="array" ref="H91">_xlfn.IFS(Table1[[#This Row],[in_or_out]]="out", "Take_out",Table1[[#This Row],[in_or_out]]="in", "Dine_in", Table1[[#This Row],[in_or_out]]="","Unknown")</f>
        <v>Take_out</v>
      </c>
    </row>
    <row r="92" spans="1:8" ht="15.75">
      <c r="A92" s="18">
        <v>91</v>
      </c>
      <c r="B92" s="7" t="s">
        <v>119</v>
      </c>
      <c r="C92" s="12">
        <v>45334.559027777781</v>
      </c>
      <c r="D92" s="7" t="s">
        <v>54</v>
      </c>
      <c r="E92" s="7">
        <v>1</v>
      </c>
      <c r="F92" s="7" t="s">
        <v>29</v>
      </c>
      <c r="G92" s="19" t="s">
        <v>789</v>
      </c>
      <c r="H92" s="7" t="str" cm="1">
        <f t="array" ref="H92">_xlfn.IFS(Table1[[#This Row],[in_or_out]]="out", "Take_out",Table1[[#This Row],[in_or_out]]="in", "Dine_in", Table1[[#This Row],[in_or_out]]="","Unknown")</f>
        <v>Unknown</v>
      </c>
    </row>
    <row r="93" spans="1:8" ht="15.75">
      <c r="A93" s="18">
        <v>92</v>
      </c>
      <c r="B93" s="7" t="s">
        <v>120</v>
      </c>
      <c r="C93" s="12">
        <v>45334.560416666667</v>
      </c>
      <c r="D93" s="7" t="s">
        <v>38</v>
      </c>
      <c r="E93" s="7">
        <v>1</v>
      </c>
      <c r="F93" s="7" t="s">
        <v>22</v>
      </c>
      <c r="G93" s="19" t="s">
        <v>10</v>
      </c>
      <c r="H93" s="7" t="str" cm="1">
        <f t="array" ref="H93">_xlfn.IFS(Table1[[#This Row],[in_or_out]]="out", "Take_out",Table1[[#This Row],[in_or_out]]="in", "Dine_in", Table1[[#This Row],[in_or_out]]="","Unknown")</f>
        <v>Take_out</v>
      </c>
    </row>
    <row r="94" spans="1:8" ht="15.75">
      <c r="A94" s="18">
        <v>93</v>
      </c>
      <c r="B94" s="7" t="s">
        <v>120</v>
      </c>
      <c r="C94" s="12">
        <v>45334.560416666667</v>
      </c>
      <c r="D94" s="7" t="s">
        <v>89</v>
      </c>
      <c r="E94" s="7">
        <v>1</v>
      </c>
      <c r="F94" s="7" t="s">
        <v>22</v>
      </c>
      <c r="G94" s="19" t="s">
        <v>789</v>
      </c>
      <c r="H94" s="7" t="str" cm="1">
        <f t="array" ref="H94">_xlfn.IFS(Table1[[#This Row],[in_or_out]]="out", "Take_out",Table1[[#This Row],[in_or_out]]="in", "Dine_in", Table1[[#This Row],[in_or_out]]="","Unknown")</f>
        <v>Unknown</v>
      </c>
    </row>
    <row r="95" spans="1:8" ht="15.75">
      <c r="A95" s="18">
        <v>94</v>
      </c>
      <c r="B95" s="7" t="s">
        <v>121</v>
      </c>
      <c r="C95" s="12">
        <v>45334.5625</v>
      </c>
      <c r="D95" s="7" t="s">
        <v>32</v>
      </c>
      <c r="E95" s="7">
        <v>1</v>
      </c>
      <c r="F95" s="7" t="s">
        <v>25</v>
      </c>
      <c r="G95" s="19" t="s">
        <v>10</v>
      </c>
      <c r="H95" s="7" t="str" cm="1">
        <f t="array" ref="H95">_xlfn.IFS(Table1[[#This Row],[in_or_out]]="out", "Take_out",Table1[[#This Row],[in_or_out]]="in", "Dine_in", Table1[[#This Row],[in_or_out]]="","Unknown")</f>
        <v>Take_out</v>
      </c>
    </row>
    <row r="96" spans="1:8" ht="15.75">
      <c r="A96" s="18">
        <v>95</v>
      </c>
      <c r="B96" s="7" t="s">
        <v>121</v>
      </c>
      <c r="C96" s="12">
        <v>45334.5625</v>
      </c>
      <c r="D96" s="7" t="s">
        <v>54</v>
      </c>
      <c r="E96" s="7">
        <v>1</v>
      </c>
      <c r="F96" s="7" t="s">
        <v>25</v>
      </c>
      <c r="G96" s="19" t="s">
        <v>789</v>
      </c>
      <c r="H96" s="7" t="str" cm="1">
        <f t="array" ref="H96">_xlfn.IFS(Table1[[#This Row],[in_or_out]]="out", "Take_out",Table1[[#This Row],[in_or_out]]="in", "Dine_in", Table1[[#This Row],[in_or_out]]="","Unknown")</f>
        <v>Unknown</v>
      </c>
    </row>
    <row r="97" spans="1:8" ht="15.75">
      <c r="A97" s="18">
        <v>96</v>
      </c>
      <c r="B97" s="7" t="s">
        <v>122</v>
      </c>
      <c r="C97" s="12">
        <v>45334.563888888886</v>
      </c>
      <c r="D97" s="7" t="s">
        <v>123</v>
      </c>
      <c r="E97" s="7">
        <v>1</v>
      </c>
      <c r="F97" s="7" t="s">
        <v>37</v>
      </c>
      <c r="G97" s="19" t="s">
        <v>10</v>
      </c>
      <c r="H97" s="7" t="str" cm="1">
        <f t="array" ref="H97">_xlfn.IFS(Table1[[#This Row],[in_or_out]]="out", "Take_out",Table1[[#This Row],[in_or_out]]="in", "Dine_in", Table1[[#This Row],[in_or_out]]="","Unknown")</f>
        <v>Take_out</v>
      </c>
    </row>
    <row r="98" spans="1:8" ht="15.75">
      <c r="A98" s="18">
        <v>97</v>
      </c>
      <c r="B98" s="7" t="s">
        <v>122</v>
      </c>
      <c r="C98" s="12">
        <v>45334.563888888886</v>
      </c>
      <c r="D98" s="7" t="s">
        <v>21</v>
      </c>
      <c r="E98" s="7">
        <v>1</v>
      </c>
      <c r="F98" s="7" t="s">
        <v>37</v>
      </c>
      <c r="G98" s="19" t="s">
        <v>789</v>
      </c>
      <c r="H98" s="7" t="str" cm="1">
        <f t="array" ref="H98">_xlfn.IFS(Table1[[#This Row],[in_or_out]]="out", "Take_out",Table1[[#This Row],[in_or_out]]="in", "Dine_in", Table1[[#This Row],[in_or_out]]="","Unknown")</f>
        <v>Unknown</v>
      </c>
    </row>
    <row r="99" spans="1:8" ht="15.75">
      <c r="A99" s="18">
        <v>98</v>
      </c>
      <c r="B99" s="7" t="s">
        <v>124</v>
      </c>
      <c r="C99" s="12">
        <v>45334.565972222219</v>
      </c>
      <c r="D99" s="7" t="s">
        <v>24</v>
      </c>
      <c r="E99" s="7">
        <v>1</v>
      </c>
      <c r="F99" s="7" t="s">
        <v>40</v>
      </c>
      <c r="G99" s="19" t="s">
        <v>14</v>
      </c>
      <c r="H99" s="7" t="str" cm="1">
        <f t="array" ref="H99">_xlfn.IFS(Table1[[#This Row],[in_or_out]]="out", "Take_out",Table1[[#This Row],[in_or_out]]="in", "Dine_in", Table1[[#This Row],[in_or_out]]="","Unknown")</f>
        <v>Dine_in</v>
      </c>
    </row>
    <row r="100" spans="1:8" ht="15.75">
      <c r="A100" s="18">
        <v>99</v>
      </c>
      <c r="B100" s="7" t="s">
        <v>124</v>
      </c>
      <c r="C100" s="12">
        <v>45334.565972222219</v>
      </c>
      <c r="D100" s="7" t="s">
        <v>67</v>
      </c>
      <c r="E100" s="7">
        <v>1</v>
      </c>
      <c r="F100" s="7" t="s">
        <v>40</v>
      </c>
      <c r="G100" s="19" t="s">
        <v>789</v>
      </c>
      <c r="H100" s="7" t="str" cm="1">
        <f t="array" ref="H100">_xlfn.IFS(Table1[[#This Row],[in_or_out]]="out", "Take_out",Table1[[#This Row],[in_or_out]]="in", "Dine_in", Table1[[#This Row],[in_or_out]]="","Unknown")</f>
        <v>Unknown</v>
      </c>
    </row>
    <row r="101" spans="1:8" ht="15.75">
      <c r="A101" s="18">
        <v>100</v>
      </c>
      <c r="B101" s="7" t="s">
        <v>125</v>
      </c>
      <c r="C101" s="12">
        <v>45334.579861111109</v>
      </c>
      <c r="D101" s="7" t="s">
        <v>30</v>
      </c>
      <c r="E101" s="7">
        <v>1</v>
      </c>
      <c r="F101" s="7" t="s">
        <v>9</v>
      </c>
      <c r="G101" s="19" t="s">
        <v>10</v>
      </c>
      <c r="H101" s="7" t="str" cm="1">
        <f t="array" ref="H101">_xlfn.IFS(Table1[[#This Row],[in_or_out]]="out", "Take_out",Table1[[#This Row],[in_or_out]]="in", "Dine_in", Table1[[#This Row],[in_or_out]]="","Unknown")</f>
        <v>Take_out</v>
      </c>
    </row>
    <row r="102" spans="1:8" ht="15.75">
      <c r="A102" s="18">
        <v>101</v>
      </c>
      <c r="B102" s="7" t="s">
        <v>126</v>
      </c>
      <c r="C102" s="12">
        <v>45334.586805555555</v>
      </c>
      <c r="D102" s="7" t="s">
        <v>50</v>
      </c>
      <c r="E102" s="7">
        <v>1</v>
      </c>
      <c r="F102" s="7" t="s">
        <v>62</v>
      </c>
      <c r="G102" s="19" t="s">
        <v>14</v>
      </c>
      <c r="H102" s="7" t="str" cm="1">
        <f t="array" ref="H102">_xlfn.IFS(Table1[[#This Row],[in_or_out]]="out", "Take_out",Table1[[#This Row],[in_or_out]]="in", "Dine_in", Table1[[#This Row],[in_or_out]]="","Unknown")</f>
        <v>Dine_in</v>
      </c>
    </row>
    <row r="103" spans="1:8" ht="15.75">
      <c r="A103" s="18">
        <v>102</v>
      </c>
      <c r="B103" s="7" t="s">
        <v>127</v>
      </c>
      <c r="C103" s="12">
        <v>45334.595138888886</v>
      </c>
      <c r="D103" s="7" t="s">
        <v>56</v>
      </c>
      <c r="E103" s="7">
        <v>1</v>
      </c>
      <c r="F103" s="7" t="s">
        <v>16</v>
      </c>
      <c r="G103" s="19" t="s">
        <v>10</v>
      </c>
      <c r="H103" s="7" t="str" cm="1">
        <f t="array" ref="H103">_xlfn.IFS(Table1[[#This Row],[in_or_out]]="out", "Take_out",Table1[[#This Row],[in_or_out]]="in", "Dine_in", Table1[[#This Row],[in_or_out]]="","Unknown")</f>
        <v>Take_out</v>
      </c>
    </row>
    <row r="104" spans="1:8" ht="15.75">
      <c r="A104" s="18">
        <v>103</v>
      </c>
      <c r="B104" s="7" t="s">
        <v>127</v>
      </c>
      <c r="C104" s="12">
        <v>45334.595138888886</v>
      </c>
      <c r="D104" s="7" t="s">
        <v>110</v>
      </c>
      <c r="E104" s="7">
        <v>1</v>
      </c>
      <c r="F104" s="7" t="s">
        <v>16</v>
      </c>
      <c r="G104" s="19" t="s">
        <v>789</v>
      </c>
      <c r="H104" s="7" t="str" cm="1">
        <f t="array" ref="H104">_xlfn.IFS(Table1[[#This Row],[in_or_out]]="out", "Take_out",Table1[[#This Row],[in_or_out]]="in", "Dine_in", Table1[[#This Row],[in_or_out]]="","Unknown")</f>
        <v>Unknown</v>
      </c>
    </row>
    <row r="105" spans="1:8" ht="15.75">
      <c r="A105" s="18">
        <v>104</v>
      </c>
      <c r="B105" s="7" t="s">
        <v>128</v>
      </c>
      <c r="C105" s="12">
        <v>45334.604166666664</v>
      </c>
      <c r="D105" s="7" t="s">
        <v>34</v>
      </c>
      <c r="E105" s="7">
        <v>1</v>
      </c>
      <c r="F105" s="7" t="s">
        <v>13</v>
      </c>
      <c r="G105" s="19" t="s">
        <v>14</v>
      </c>
      <c r="H105" s="7" t="str" cm="1">
        <f t="array" ref="H105">_xlfn.IFS(Table1[[#This Row],[in_or_out]]="out", "Take_out",Table1[[#This Row],[in_or_out]]="in", "Dine_in", Table1[[#This Row],[in_or_out]]="","Unknown")</f>
        <v>Dine_in</v>
      </c>
    </row>
    <row r="106" spans="1:8" ht="15.75">
      <c r="A106" s="18">
        <v>105</v>
      </c>
      <c r="B106" s="7" t="s">
        <v>129</v>
      </c>
      <c r="C106" s="12">
        <v>45334.614583333336</v>
      </c>
      <c r="D106" s="7" t="s">
        <v>45</v>
      </c>
      <c r="E106" s="7">
        <v>1</v>
      </c>
      <c r="F106" s="7" t="s">
        <v>19</v>
      </c>
      <c r="G106" s="19" t="s">
        <v>14</v>
      </c>
      <c r="H106" s="7" t="str" cm="1">
        <f t="array" ref="H106">_xlfn.IFS(Table1[[#This Row],[in_or_out]]="out", "Take_out",Table1[[#This Row],[in_or_out]]="in", "Dine_in", Table1[[#This Row],[in_or_out]]="","Unknown")</f>
        <v>Dine_in</v>
      </c>
    </row>
    <row r="107" spans="1:8" ht="15.75">
      <c r="A107" s="18">
        <v>106</v>
      </c>
      <c r="B107" s="7" t="s">
        <v>129</v>
      </c>
      <c r="C107" s="12">
        <v>45334.614583333336</v>
      </c>
      <c r="D107" s="7" t="s">
        <v>38</v>
      </c>
      <c r="E107" s="7">
        <v>1</v>
      </c>
      <c r="F107" s="7" t="s">
        <v>19</v>
      </c>
      <c r="G107" s="19" t="s">
        <v>789</v>
      </c>
      <c r="H107" s="7" t="str" cm="1">
        <f t="array" ref="H107">_xlfn.IFS(Table1[[#This Row],[in_or_out]]="out", "Take_out",Table1[[#This Row],[in_or_out]]="in", "Dine_in", Table1[[#This Row],[in_or_out]]="","Unknown")</f>
        <v>Unknown</v>
      </c>
    </row>
    <row r="108" spans="1:8" ht="15.75">
      <c r="A108" s="18">
        <v>107</v>
      </c>
      <c r="B108" s="7" t="s">
        <v>130</v>
      </c>
      <c r="C108" s="12">
        <v>45334.625</v>
      </c>
      <c r="D108" s="7" t="s">
        <v>110</v>
      </c>
      <c r="E108" s="7">
        <v>1</v>
      </c>
      <c r="F108" s="7" t="s">
        <v>29</v>
      </c>
      <c r="G108" s="19" t="s">
        <v>10</v>
      </c>
      <c r="H108" s="7" t="str" cm="1">
        <f t="array" ref="H108">_xlfn.IFS(Table1[[#This Row],[in_or_out]]="out", "Take_out",Table1[[#This Row],[in_or_out]]="in", "Dine_in", Table1[[#This Row],[in_or_out]]="","Unknown")</f>
        <v>Take_out</v>
      </c>
    </row>
    <row r="109" spans="1:8" ht="15.75">
      <c r="A109" s="18">
        <v>108</v>
      </c>
      <c r="B109" s="7" t="s">
        <v>131</v>
      </c>
      <c r="C109" s="12">
        <v>45334.638888888891</v>
      </c>
      <c r="D109" s="7" t="s">
        <v>48</v>
      </c>
      <c r="E109" s="7">
        <v>1</v>
      </c>
      <c r="F109" s="7" t="s">
        <v>22</v>
      </c>
      <c r="G109" s="19" t="s">
        <v>14</v>
      </c>
      <c r="H109" s="7" t="str" cm="1">
        <f t="array" ref="H109">_xlfn.IFS(Table1[[#This Row],[in_or_out]]="out", "Take_out",Table1[[#This Row],[in_or_out]]="in", "Dine_in", Table1[[#This Row],[in_or_out]]="","Unknown")</f>
        <v>Dine_in</v>
      </c>
    </row>
    <row r="110" spans="1:8" ht="15.75">
      <c r="A110" s="18">
        <v>109</v>
      </c>
      <c r="B110" s="7" t="s">
        <v>131</v>
      </c>
      <c r="C110" s="12">
        <v>45334.638888888891</v>
      </c>
      <c r="D110" s="7" t="s">
        <v>42</v>
      </c>
      <c r="E110" s="7">
        <v>1</v>
      </c>
      <c r="F110" s="7" t="s">
        <v>22</v>
      </c>
      <c r="G110" s="19" t="s">
        <v>789</v>
      </c>
      <c r="H110" s="7" t="str" cm="1">
        <f t="array" ref="H110">_xlfn.IFS(Table1[[#This Row],[in_or_out]]="out", "Take_out",Table1[[#This Row],[in_or_out]]="in", "Dine_in", Table1[[#This Row],[in_or_out]]="","Unknown")</f>
        <v>Unknown</v>
      </c>
    </row>
    <row r="111" spans="1:8" ht="15.75">
      <c r="A111" s="18">
        <v>110</v>
      </c>
      <c r="B111" s="7" t="s">
        <v>132</v>
      </c>
      <c r="C111" s="12">
        <v>45334.652777777781</v>
      </c>
      <c r="D111" s="7" t="s">
        <v>12</v>
      </c>
      <c r="E111" s="7">
        <v>1</v>
      </c>
      <c r="F111" s="7" t="s">
        <v>25</v>
      </c>
      <c r="G111" s="19" t="s">
        <v>10</v>
      </c>
      <c r="H111" s="7" t="str" cm="1">
        <f t="array" ref="H111">_xlfn.IFS(Table1[[#This Row],[in_or_out]]="out", "Take_out",Table1[[#This Row],[in_or_out]]="in", "Dine_in", Table1[[#This Row],[in_or_out]]="","Unknown")</f>
        <v>Take_out</v>
      </c>
    </row>
    <row r="112" spans="1:8" ht="15.75">
      <c r="A112" s="18">
        <v>111</v>
      </c>
      <c r="B112" s="7" t="s">
        <v>132</v>
      </c>
      <c r="C112" s="12">
        <v>45334.652777777781</v>
      </c>
      <c r="D112" s="7" t="s">
        <v>54</v>
      </c>
      <c r="E112" s="7">
        <v>1</v>
      </c>
      <c r="F112" s="7" t="s">
        <v>25</v>
      </c>
      <c r="G112" s="19" t="s">
        <v>789</v>
      </c>
      <c r="H112" s="7" t="str" cm="1">
        <f t="array" ref="H112">_xlfn.IFS(Table1[[#This Row],[in_or_out]]="out", "Take_out",Table1[[#This Row],[in_or_out]]="in", "Dine_in", Table1[[#This Row],[in_or_out]]="","Unknown")</f>
        <v>Unknown</v>
      </c>
    </row>
    <row r="113" spans="1:8" ht="15.75">
      <c r="A113" s="18">
        <v>112</v>
      </c>
      <c r="B113" s="7" t="s">
        <v>133</v>
      </c>
      <c r="C113" s="12">
        <v>45334.666666666664</v>
      </c>
      <c r="D113" s="7" t="s">
        <v>28</v>
      </c>
      <c r="E113" s="7">
        <v>1</v>
      </c>
      <c r="F113" s="7" t="s">
        <v>43</v>
      </c>
      <c r="G113" s="19" t="s">
        <v>10</v>
      </c>
      <c r="H113" s="7" t="str" cm="1">
        <f t="array" ref="H113">_xlfn.IFS(Table1[[#This Row],[in_or_out]]="out", "Take_out",Table1[[#This Row],[in_or_out]]="in", "Dine_in", Table1[[#This Row],[in_or_out]]="","Unknown")</f>
        <v>Take_out</v>
      </c>
    </row>
    <row r="114" spans="1:8" ht="15.75">
      <c r="A114" s="18">
        <v>113</v>
      </c>
      <c r="B114" s="7" t="s">
        <v>134</v>
      </c>
      <c r="C114" s="12">
        <v>45334.684027777781</v>
      </c>
      <c r="D114" s="7" t="s">
        <v>67</v>
      </c>
      <c r="E114" s="7">
        <v>1</v>
      </c>
      <c r="F114" s="7" t="s">
        <v>105</v>
      </c>
      <c r="G114" s="19" t="s">
        <v>10</v>
      </c>
      <c r="H114" s="7" t="str" cm="1">
        <f t="array" ref="H114">_xlfn.IFS(Table1[[#This Row],[in_or_out]]="out", "Take_out",Table1[[#This Row],[in_or_out]]="in", "Dine_in", Table1[[#This Row],[in_or_out]]="","Unknown")</f>
        <v>Take_out</v>
      </c>
    </row>
    <row r="115" spans="1:8" ht="15.75">
      <c r="A115" s="18">
        <v>114</v>
      </c>
      <c r="B115" s="7" t="s">
        <v>135</v>
      </c>
      <c r="C115" s="12">
        <v>45334.701388888891</v>
      </c>
      <c r="D115" s="7" t="s">
        <v>52</v>
      </c>
      <c r="E115" s="7">
        <v>1</v>
      </c>
      <c r="F115" s="7" t="s">
        <v>37</v>
      </c>
      <c r="G115" s="19" t="s">
        <v>10</v>
      </c>
      <c r="H115" s="7" t="str" cm="1">
        <f t="array" ref="H115">_xlfn.IFS(Table1[[#This Row],[in_or_out]]="out", "Take_out",Table1[[#This Row],[in_or_out]]="in", "Dine_in", Table1[[#This Row],[in_or_out]]="","Unknown")</f>
        <v>Take_out</v>
      </c>
    </row>
    <row r="116" spans="1:8" ht="15.75">
      <c r="A116" s="18">
        <v>115</v>
      </c>
      <c r="B116" s="7" t="s">
        <v>136</v>
      </c>
      <c r="C116" s="12">
        <v>45334.708333333336</v>
      </c>
      <c r="D116" s="7" t="s">
        <v>24</v>
      </c>
      <c r="E116" s="7">
        <v>1</v>
      </c>
      <c r="F116" s="7" t="s">
        <v>137</v>
      </c>
      <c r="G116" s="19" t="s">
        <v>10</v>
      </c>
      <c r="H116" s="7" t="str" cm="1">
        <f t="array" ref="H116">_xlfn.IFS(Table1[[#This Row],[in_or_out]]="out", "Take_out",Table1[[#This Row],[in_or_out]]="in", "Dine_in", Table1[[#This Row],[in_or_out]]="","Unknown")</f>
        <v>Take_out</v>
      </c>
    </row>
    <row r="117" spans="1:8" ht="15.75">
      <c r="A117" s="18">
        <v>116</v>
      </c>
      <c r="B117" s="7" t="s">
        <v>138</v>
      </c>
      <c r="C117" s="12">
        <v>45335.301388888889</v>
      </c>
      <c r="D117" s="7" t="s">
        <v>59</v>
      </c>
      <c r="E117" s="7">
        <v>1</v>
      </c>
      <c r="F117" s="7" t="s">
        <v>139</v>
      </c>
      <c r="G117" s="19" t="s">
        <v>10</v>
      </c>
      <c r="H117" s="7" t="str" cm="1">
        <f t="array" ref="H117">_xlfn.IFS(Table1[[#This Row],[in_or_out]]="out", "Take_out",Table1[[#This Row],[in_or_out]]="in", "Dine_in", Table1[[#This Row],[in_or_out]]="","Unknown")</f>
        <v>Take_out</v>
      </c>
    </row>
    <row r="118" spans="1:8" ht="15.75">
      <c r="A118" s="18">
        <v>117</v>
      </c>
      <c r="B118" s="7" t="s">
        <v>140</v>
      </c>
      <c r="C118" s="12">
        <v>45335.304861111108</v>
      </c>
      <c r="D118" s="7" t="s">
        <v>56</v>
      </c>
      <c r="E118" s="7">
        <v>1</v>
      </c>
      <c r="F118" s="7" t="s">
        <v>141</v>
      </c>
      <c r="G118" s="19" t="s">
        <v>14</v>
      </c>
      <c r="H118" s="7" t="str" cm="1">
        <f t="array" ref="H118">_xlfn.IFS(Table1[[#This Row],[in_or_out]]="out", "Take_out",Table1[[#This Row],[in_or_out]]="in", "Dine_in", Table1[[#This Row],[in_or_out]]="","Unknown")</f>
        <v>Dine_in</v>
      </c>
    </row>
    <row r="119" spans="1:8" ht="15.75">
      <c r="A119" s="18">
        <v>118</v>
      </c>
      <c r="B119" s="7" t="s">
        <v>140</v>
      </c>
      <c r="C119" s="12">
        <v>45335.304861111108</v>
      </c>
      <c r="D119" s="7" t="s">
        <v>142</v>
      </c>
      <c r="E119" s="7">
        <v>1</v>
      </c>
      <c r="F119" s="7" t="s">
        <v>141</v>
      </c>
      <c r="G119" s="19" t="s">
        <v>789</v>
      </c>
      <c r="H119" s="7" t="str" cm="1">
        <f t="array" ref="H119">_xlfn.IFS(Table1[[#This Row],[in_or_out]]="out", "Take_out",Table1[[#This Row],[in_or_out]]="in", "Dine_in", Table1[[#This Row],[in_or_out]]="","Unknown")</f>
        <v>Unknown</v>
      </c>
    </row>
    <row r="120" spans="1:8" ht="15.75">
      <c r="A120" s="18">
        <v>119</v>
      </c>
      <c r="B120" s="7" t="s">
        <v>143</v>
      </c>
      <c r="C120" s="12">
        <v>45335.308333333334</v>
      </c>
      <c r="D120" s="7" t="s">
        <v>67</v>
      </c>
      <c r="E120" s="7">
        <v>1</v>
      </c>
      <c r="F120" s="7" t="s">
        <v>144</v>
      </c>
      <c r="G120" s="19" t="s">
        <v>10</v>
      </c>
      <c r="H120" s="7" t="str" cm="1">
        <f t="array" ref="H120">_xlfn.IFS(Table1[[#This Row],[in_or_out]]="out", "Take_out",Table1[[#This Row],[in_or_out]]="in", "Dine_in", Table1[[#This Row],[in_or_out]]="","Unknown")</f>
        <v>Take_out</v>
      </c>
    </row>
    <row r="121" spans="1:8" ht="15.75">
      <c r="A121" s="18">
        <v>120</v>
      </c>
      <c r="B121" s="7" t="s">
        <v>145</v>
      </c>
      <c r="C121" s="12">
        <v>45335.3125</v>
      </c>
      <c r="D121" s="7" t="s">
        <v>36</v>
      </c>
      <c r="E121" s="7">
        <v>1</v>
      </c>
      <c r="F121" s="7" t="s">
        <v>9</v>
      </c>
      <c r="G121" s="19" t="s">
        <v>14</v>
      </c>
      <c r="H121" s="7" t="str" cm="1">
        <f t="array" ref="H121">_xlfn.IFS(Table1[[#This Row],[in_or_out]]="out", "Take_out",Table1[[#This Row],[in_or_out]]="in", "Dine_in", Table1[[#This Row],[in_or_out]]="","Unknown")</f>
        <v>Dine_in</v>
      </c>
    </row>
    <row r="122" spans="1:8" ht="15.75">
      <c r="A122" s="18">
        <v>121</v>
      </c>
      <c r="B122" s="7" t="s">
        <v>145</v>
      </c>
      <c r="C122" s="12">
        <v>45335.3125</v>
      </c>
      <c r="D122" s="7" t="s">
        <v>38</v>
      </c>
      <c r="E122" s="7">
        <v>1</v>
      </c>
      <c r="F122" s="7" t="s">
        <v>9</v>
      </c>
      <c r="G122" s="19" t="s">
        <v>789</v>
      </c>
      <c r="H122" s="7" t="str" cm="1">
        <f t="array" ref="H122">_xlfn.IFS(Table1[[#This Row],[in_or_out]]="out", "Take_out",Table1[[#This Row],[in_or_out]]="in", "Dine_in", Table1[[#This Row],[in_or_out]]="","Unknown")</f>
        <v>Unknown</v>
      </c>
    </row>
    <row r="123" spans="1:8" ht="15.75">
      <c r="A123" s="18">
        <v>122</v>
      </c>
      <c r="B123" s="7" t="s">
        <v>146</v>
      </c>
      <c r="C123" s="12">
        <v>45335.315972222219</v>
      </c>
      <c r="D123" s="7" t="s">
        <v>32</v>
      </c>
      <c r="E123" s="7">
        <v>1</v>
      </c>
      <c r="F123" s="7" t="s">
        <v>13</v>
      </c>
      <c r="G123" s="19" t="s">
        <v>10</v>
      </c>
      <c r="H123" s="7" t="str" cm="1">
        <f t="array" ref="H123">_xlfn.IFS(Table1[[#This Row],[in_or_out]]="out", "Take_out",Table1[[#This Row],[in_or_out]]="in", "Dine_in", Table1[[#This Row],[in_or_out]]="","Unknown")</f>
        <v>Take_out</v>
      </c>
    </row>
    <row r="124" spans="1:8" ht="15.75">
      <c r="A124" s="18">
        <v>123</v>
      </c>
      <c r="B124" s="7" t="s">
        <v>147</v>
      </c>
      <c r="C124" s="12">
        <v>45335.319444444445</v>
      </c>
      <c r="D124" s="7" t="s">
        <v>50</v>
      </c>
      <c r="E124" s="7">
        <v>1</v>
      </c>
      <c r="F124" s="7" t="s">
        <v>16</v>
      </c>
      <c r="G124" s="19" t="s">
        <v>14</v>
      </c>
      <c r="H124" s="7" t="str" cm="1">
        <f t="array" ref="H124">_xlfn.IFS(Table1[[#This Row],[in_or_out]]="out", "Take_out",Table1[[#This Row],[in_or_out]]="in", "Dine_in", Table1[[#This Row],[in_or_out]]="","Unknown")</f>
        <v>Dine_in</v>
      </c>
    </row>
    <row r="125" spans="1:8" ht="15.75">
      <c r="A125" s="18">
        <v>124</v>
      </c>
      <c r="B125" s="7" t="s">
        <v>148</v>
      </c>
      <c r="C125" s="12">
        <v>45335.322916666664</v>
      </c>
      <c r="D125" s="7" t="s">
        <v>89</v>
      </c>
      <c r="E125" s="7">
        <v>1</v>
      </c>
      <c r="F125" s="7" t="s">
        <v>19</v>
      </c>
      <c r="G125" s="19" t="s">
        <v>10</v>
      </c>
      <c r="H125" s="7" t="str" cm="1">
        <f t="array" ref="H125">_xlfn.IFS(Table1[[#This Row],[in_or_out]]="out", "Take_out",Table1[[#This Row],[in_or_out]]="in", "Dine_in", Table1[[#This Row],[in_or_out]]="","Unknown")</f>
        <v>Take_out</v>
      </c>
    </row>
    <row r="126" spans="1:8" ht="15.75">
      <c r="A126" s="18">
        <v>125</v>
      </c>
      <c r="B126" s="7" t="s">
        <v>149</v>
      </c>
      <c r="C126" s="12">
        <v>45335.326388888891</v>
      </c>
      <c r="D126" s="7" t="s">
        <v>8</v>
      </c>
      <c r="E126" s="7">
        <v>1</v>
      </c>
      <c r="F126" s="7" t="s">
        <v>22</v>
      </c>
      <c r="G126" s="19" t="s">
        <v>14</v>
      </c>
      <c r="H126" s="7" t="str" cm="1">
        <f t="array" ref="H126">_xlfn.IFS(Table1[[#This Row],[in_or_out]]="out", "Take_out",Table1[[#This Row],[in_or_out]]="in", "Dine_in", Table1[[#This Row],[in_or_out]]="","Unknown")</f>
        <v>Dine_in</v>
      </c>
    </row>
    <row r="127" spans="1:8" ht="15.75">
      <c r="A127" s="18">
        <v>126</v>
      </c>
      <c r="B127" s="7" t="s">
        <v>149</v>
      </c>
      <c r="C127" s="12">
        <v>45335.326388888891</v>
      </c>
      <c r="D127" s="7" t="s">
        <v>21</v>
      </c>
      <c r="E127" s="7">
        <v>1</v>
      </c>
      <c r="F127" s="7" t="s">
        <v>22</v>
      </c>
      <c r="G127" s="19" t="s">
        <v>789</v>
      </c>
      <c r="H127" s="7" t="str" cm="1">
        <f t="array" ref="H127">_xlfn.IFS(Table1[[#This Row],[in_or_out]]="out", "Take_out",Table1[[#This Row],[in_or_out]]="in", "Dine_in", Table1[[#This Row],[in_or_out]]="","Unknown")</f>
        <v>Unknown</v>
      </c>
    </row>
    <row r="128" spans="1:8" ht="15.75">
      <c r="A128" s="18">
        <v>127</v>
      </c>
      <c r="B128" s="7" t="s">
        <v>150</v>
      </c>
      <c r="C128" s="12">
        <v>45335.330555555556</v>
      </c>
      <c r="D128" s="7" t="s">
        <v>24</v>
      </c>
      <c r="E128" s="7">
        <v>1</v>
      </c>
      <c r="F128" s="7" t="s">
        <v>25</v>
      </c>
      <c r="G128" s="19" t="s">
        <v>10</v>
      </c>
      <c r="H128" s="7" t="str" cm="1">
        <f t="array" ref="H128">_xlfn.IFS(Table1[[#This Row],[in_or_out]]="out", "Take_out",Table1[[#This Row],[in_or_out]]="in", "Dine_in", Table1[[#This Row],[in_or_out]]="","Unknown")</f>
        <v>Take_out</v>
      </c>
    </row>
    <row r="129" spans="1:8" ht="15.75">
      <c r="A129" s="18">
        <v>128</v>
      </c>
      <c r="B129" s="7" t="s">
        <v>151</v>
      </c>
      <c r="C129" s="12">
        <v>45335.334027777775</v>
      </c>
      <c r="D129" s="7" t="s">
        <v>18</v>
      </c>
      <c r="E129" s="7">
        <v>1</v>
      </c>
      <c r="F129" s="7" t="s">
        <v>29</v>
      </c>
      <c r="G129" s="19" t="s">
        <v>14</v>
      </c>
      <c r="H129" s="7" t="str" cm="1">
        <f t="array" ref="H129">_xlfn.IFS(Table1[[#This Row],[in_or_out]]="out", "Take_out",Table1[[#This Row],[in_or_out]]="in", "Dine_in", Table1[[#This Row],[in_or_out]]="","Unknown")</f>
        <v>Dine_in</v>
      </c>
    </row>
    <row r="130" spans="1:8" ht="15.75">
      <c r="A130" s="18">
        <v>129</v>
      </c>
      <c r="B130" s="7" t="s">
        <v>152</v>
      </c>
      <c r="C130" s="12">
        <v>45335.337500000001</v>
      </c>
      <c r="D130" s="7" t="s">
        <v>42</v>
      </c>
      <c r="E130" s="7">
        <v>1</v>
      </c>
      <c r="F130" s="7" t="s">
        <v>33</v>
      </c>
      <c r="G130" s="19" t="s">
        <v>10</v>
      </c>
      <c r="H130" s="7" t="str" cm="1">
        <f t="array" ref="H130">_xlfn.IFS(Table1[[#This Row],[in_or_out]]="out", "Take_out",Table1[[#This Row],[in_or_out]]="in", "Dine_in", Table1[[#This Row],[in_or_out]]="","Unknown")</f>
        <v>Take_out</v>
      </c>
    </row>
    <row r="131" spans="1:8" ht="15.75">
      <c r="A131" s="18">
        <v>130</v>
      </c>
      <c r="B131" s="7" t="s">
        <v>152</v>
      </c>
      <c r="C131" s="12">
        <v>45335.337500000001</v>
      </c>
      <c r="D131" s="7" t="s">
        <v>153</v>
      </c>
      <c r="E131" s="7">
        <v>1</v>
      </c>
      <c r="F131" s="7" t="s">
        <v>33</v>
      </c>
      <c r="G131" s="19" t="s">
        <v>789</v>
      </c>
      <c r="H131" s="7" t="str" cm="1">
        <f t="array" ref="H131">_xlfn.IFS(Table1[[#This Row],[in_or_out]]="out", "Take_out",Table1[[#This Row],[in_or_out]]="in", "Dine_in", Table1[[#This Row],[in_or_out]]="","Unknown")</f>
        <v>Unknown</v>
      </c>
    </row>
    <row r="132" spans="1:8" ht="15.75">
      <c r="A132" s="18">
        <v>131</v>
      </c>
      <c r="B132" s="7" t="s">
        <v>154</v>
      </c>
      <c r="C132" s="12">
        <v>45335.34097222222</v>
      </c>
      <c r="D132" s="7" t="s">
        <v>54</v>
      </c>
      <c r="E132" s="7">
        <v>1</v>
      </c>
      <c r="F132" s="7" t="s">
        <v>37</v>
      </c>
      <c r="G132" s="19" t="s">
        <v>14</v>
      </c>
      <c r="H132" s="7" t="str" cm="1">
        <f t="array" ref="H132">_xlfn.IFS(Table1[[#This Row],[in_or_out]]="out", "Take_out",Table1[[#This Row],[in_or_out]]="in", "Dine_in", Table1[[#This Row],[in_or_out]]="","Unknown")</f>
        <v>Dine_in</v>
      </c>
    </row>
    <row r="133" spans="1:8" ht="15.75">
      <c r="A133" s="18">
        <v>132</v>
      </c>
      <c r="B133" s="7" t="s">
        <v>155</v>
      </c>
      <c r="C133" s="12">
        <v>45335.345138888886</v>
      </c>
      <c r="D133" s="7" t="s">
        <v>34</v>
      </c>
      <c r="E133" s="7">
        <v>1</v>
      </c>
      <c r="F133" s="7" t="s">
        <v>40</v>
      </c>
      <c r="G133" s="19" t="s">
        <v>10</v>
      </c>
      <c r="H133" s="7" t="str" cm="1">
        <f t="array" ref="H133">_xlfn.IFS(Table1[[#This Row],[in_or_out]]="out", "Take_out",Table1[[#This Row],[in_or_out]]="in", "Dine_in", Table1[[#This Row],[in_or_out]]="","Unknown")</f>
        <v>Take_out</v>
      </c>
    </row>
    <row r="134" spans="1:8" ht="15.75">
      <c r="A134" s="18">
        <v>133</v>
      </c>
      <c r="B134" s="7" t="s">
        <v>156</v>
      </c>
      <c r="C134" s="12">
        <v>45335.348611111112</v>
      </c>
      <c r="D134" s="7" t="s">
        <v>28</v>
      </c>
      <c r="E134" s="7">
        <v>1</v>
      </c>
      <c r="F134" s="7" t="s">
        <v>43</v>
      </c>
      <c r="G134" s="19" t="s">
        <v>14</v>
      </c>
      <c r="H134" s="7" t="str" cm="1">
        <f t="array" ref="H134">_xlfn.IFS(Table1[[#This Row],[in_or_out]]="out", "Take_out",Table1[[#This Row],[in_or_out]]="in", "Dine_in", Table1[[#This Row],[in_or_out]]="","Unknown")</f>
        <v>Dine_in</v>
      </c>
    </row>
    <row r="135" spans="1:8" ht="15.75">
      <c r="A135" s="18">
        <v>134</v>
      </c>
      <c r="B135" s="7" t="s">
        <v>156</v>
      </c>
      <c r="C135" s="12">
        <v>45335.348611111112</v>
      </c>
      <c r="D135" s="7" t="s">
        <v>52</v>
      </c>
      <c r="E135" s="7">
        <v>1</v>
      </c>
      <c r="F135" s="7" t="s">
        <v>43</v>
      </c>
      <c r="G135" s="19" t="s">
        <v>789</v>
      </c>
      <c r="H135" s="7" t="str" cm="1">
        <f t="array" ref="H135">_xlfn.IFS(Table1[[#This Row],[in_or_out]]="out", "Take_out",Table1[[#This Row],[in_or_out]]="in", "Dine_in", Table1[[#This Row],[in_or_out]]="","Unknown")</f>
        <v>Unknown</v>
      </c>
    </row>
    <row r="136" spans="1:8" ht="15.75">
      <c r="A136" s="18">
        <v>135</v>
      </c>
      <c r="B136" s="7" t="s">
        <v>157</v>
      </c>
      <c r="C136" s="12">
        <v>45335.352083333331</v>
      </c>
      <c r="D136" s="7" t="s">
        <v>123</v>
      </c>
      <c r="E136" s="7">
        <v>1</v>
      </c>
      <c r="F136" s="7" t="s">
        <v>137</v>
      </c>
      <c r="G136" s="19" t="s">
        <v>10</v>
      </c>
      <c r="H136" s="7" t="str" cm="1">
        <f t="array" ref="H136">_xlfn.IFS(Table1[[#This Row],[in_or_out]]="out", "Take_out",Table1[[#This Row],[in_or_out]]="in", "Dine_in", Table1[[#This Row],[in_or_out]]="","Unknown")</f>
        <v>Take_out</v>
      </c>
    </row>
    <row r="137" spans="1:8" ht="15.75">
      <c r="A137" s="18">
        <v>136</v>
      </c>
      <c r="B137" s="7" t="s">
        <v>158</v>
      </c>
      <c r="C137" s="12">
        <v>45335.355555555558</v>
      </c>
      <c r="D137" s="7" t="s">
        <v>45</v>
      </c>
      <c r="E137" s="7">
        <v>1</v>
      </c>
      <c r="F137" s="7" t="s">
        <v>9</v>
      </c>
      <c r="G137" s="19" t="s">
        <v>14</v>
      </c>
      <c r="H137" s="7" t="str" cm="1">
        <f t="array" ref="H137">_xlfn.IFS(Table1[[#This Row],[in_or_out]]="out", "Take_out",Table1[[#This Row],[in_or_out]]="in", "Dine_in", Table1[[#This Row],[in_or_out]]="","Unknown")</f>
        <v>Dine_in</v>
      </c>
    </row>
    <row r="138" spans="1:8" ht="15.75">
      <c r="A138" s="18">
        <v>137</v>
      </c>
      <c r="B138" s="7" t="s">
        <v>159</v>
      </c>
      <c r="C138" s="12">
        <v>45335.359722222223</v>
      </c>
      <c r="D138" s="7" t="s">
        <v>160</v>
      </c>
      <c r="E138" s="7">
        <v>1</v>
      </c>
      <c r="F138" s="7" t="s">
        <v>144</v>
      </c>
      <c r="G138" s="19" t="s">
        <v>10</v>
      </c>
      <c r="H138" s="7" t="str" cm="1">
        <f t="array" ref="H138">_xlfn.IFS(Table1[[#This Row],[in_or_out]]="out", "Take_out",Table1[[#This Row],[in_or_out]]="in", "Dine_in", Table1[[#This Row],[in_or_out]]="","Unknown")</f>
        <v>Take_out</v>
      </c>
    </row>
    <row r="139" spans="1:8" ht="15.75">
      <c r="A139" s="18">
        <v>138</v>
      </c>
      <c r="B139" s="7" t="s">
        <v>159</v>
      </c>
      <c r="C139" s="12">
        <v>45335.359722222223</v>
      </c>
      <c r="D139" s="7" t="s">
        <v>30</v>
      </c>
      <c r="E139" s="7">
        <v>1</v>
      </c>
      <c r="F139" s="7" t="s">
        <v>144</v>
      </c>
      <c r="G139" s="19" t="s">
        <v>789</v>
      </c>
      <c r="H139" s="7" t="str" cm="1">
        <f t="array" ref="H139">_xlfn.IFS(Table1[[#This Row],[in_or_out]]="out", "Take_out",Table1[[#This Row],[in_or_out]]="in", "Dine_in", Table1[[#This Row],[in_or_out]]="","Unknown")</f>
        <v>Unknown</v>
      </c>
    </row>
    <row r="140" spans="1:8" ht="15.75">
      <c r="A140" s="18">
        <v>139</v>
      </c>
      <c r="B140" s="7" t="s">
        <v>161</v>
      </c>
      <c r="C140" s="12">
        <v>45335.363194444442</v>
      </c>
      <c r="D140" s="7" t="s">
        <v>12</v>
      </c>
      <c r="E140" s="7">
        <v>1</v>
      </c>
      <c r="F140" s="7" t="s">
        <v>141</v>
      </c>
      <c r="G140" s="19" t="s">
        <v>14</v>
      </c>
      <c r="H140" s="7" t="str" cm="1">
        <f t="array" ref="H140">_xlfn.IFS(Table1[[#This Row],[in_or_out]]="out", "Take_out",Table1[[#This Row],[in_or_out]]="in", "Dine_in", Table1[[#This Row],[in_or_out]]="","Unknown")</f>
        <v>Dine_in</v>
      </c>
    </row>
    <row r="141" spans="1:8" ht="15.75">
      <c r="A141" s="18">
        <v>140</v>
      </c>
      <c r="B141" s="7" t="s">
        <v>162</v>
      </c>
      <c r="C141" s="12">
        <v>45335.366666666669</v>
      </c>
      <c r="D141" s="7" t="s">
        <v>48</v>
      </c>
      <c r="E141" s="7">
        <v>1</v>
      </c>
      <c r="F141" s="7" t="s">
        <v>13</v>
      </c>
      <c r="G141" s="19" t="s">
        <v>10</v>
      </c>
      <c r="H141" s="7" t="str" cm="1">
        <f t="array" ref="H141">_xlfn.IFS(Table1[[#This Row],[in_or_out]]="out", "Take_out",Table1[[#This Row],[in_or_out]]="in", "Dine_in", Table1[[#This Row],[in_or_out]]="","Unknown")</f>
        <v>Take_out</v>
      </c>
    </row>
    <row r="142" spans="1:8" ht="15.75">
      <c r="A142" s="18">
        <v>141</v>
      </c>
      <c r="B142" s="7" t="s">
        <v>163</v>
      </c>
      <c r="C142" s="12">
        <v>45335.370138888888</v>
      </c>
      <c r="D142" s="7" t="s">
        <v>59</v>
      </c>
      <c r="E142" s="7">
        <v>1</v>
      </c>
      <c r="F142" s="7" t="s">
        <v>16</v>
      </c>
      <c r="G142" s="19" t="s">
        <v>14</v>
      </c>
      <c r="H142" s="7" t="str" cm="1">
        <f t="array" ref="H142">_xlfn.IFS(Table1[[#This Row],[in_or_out]]="out", "Take_out",Table1[[#This Row],[in_or_out]]="in", "Dine_in", Table1[[#This Row],[in_or_out]]="","Unknown")</f>
        <v>Dine_in</v>
      </c>
    </row>
    <row r="143" spans="1:8" ht="15.75">
      <c r="A143" s="18">
        <v>142</v>
      </c>
      <c r="B143" s="7" t="s">
        <v>163</v>
      </c>
      <c r="C143" s="12">
        <v>45335.370138888888</v>
      </c>
      <c r="D143" s="7" t="s">
        <v>26</v>
      </c>
      <c r="E143" s="7">
        <v>1</v>
      </c>
      <c r="F143" s="7" t="s">
        <v>16</v>
      </c>
      <c r="G143" s="19" t="s">
        <v>789</v>
      </c>
      <c r="H143" s="7" t="str" cm="1">
        <f t="array" ref="H143">_xlfn.IFS(Table1[[#This Row],[in_or_out]]="out", "Take_out",Table1[[#This Row],[in_or_out]]="in", "Dine_in", Table1[[#This Row],[in_or_out]]="","Unknown")</f>
        <v>Unknown</v>
      </c>
    </row>
    <row r="144" spans="1:8" ht="15.75">
      <c r="A144" s="18">
        <v>143</v>
      </c>
      <c r="B144" s="7" t="s">
        <v>164</v>
      </c>
      <c r="C144" s="12">
        <v>45335.373611111114</v>
      </c>
      <c r="D144" s="7" t="s">
        <v>110</v>
      </c>
      <c r="E144" s="7">
        <v>1</v>
      </c>
      <c r="F144" s="7" t="s">
        <v>19</v>
      </c>
      <c r="G144" s="19" t="s">
        <v>10</v>
      </c>
      <c r="H144" s="7" t="str" cm="1">
        <f t="array" ref="H144">_xlfn.IFS(Table1[[#This Row],[in_or_out]]="out", "Take_out",Table1[[#This Row],[in_or_out]]="in", "Dine_in", Table1[[#This Row],[in_or_out]]="","Unknown")</f>
        <v>Take_out</v>
      </c>
    </row>
    <row r="145" spans="1:8" ht="15.75">
      <c r="A145" s="18">
        <v>144</v>
      </c>
      <c r="B145" s="7" t="s">
        <v>165</v>
      </c>
      <c r="C145" s="12">
        <v>45335.37777777778</v>
      </c>
      <c r="D145" s="7" t="s">
        <v>166</v>
      </c>
      <c r="E145" s="7">
        <v>1</v>
      </c>
      <c r="F145" s="7" t="s">
        <v>22</v>
      </c>
      <c r="G145" s="19" t="s">
        <v>14</v>
      </c>
      <c r="H145" s="7" t="str" cm="1">
        <f t="array" ref="H145">_xlfn.IFS(Table1[[#This Row],[in_or_out]]="out", "Take_out",Table1[[#This Row],[in_or_out]]="in", "Dine_in", Table1[[#This Row],[in_or_out]]="","Unknown")</f>
        <v>Dine_in</v>
      </c>
    </row>
    <row r="146" spans="1:8" ht="15.75">
      <c r="A146" s="18">
        <v>145</v>
      </c>
      <c r="B146" s="7" t="s">
        <v>167</v>
      </c>
      <c r="C146" s="12">
        <v>45335.381249999999</v>
      </c>
      <c r="D146" s="7" t="s">
        <v>56</v>
      </c>
      <c r="E146" s="7">
        <v>1</v>
      </c>
      <c r="F146" s="7" t="s">
        <v>25</v>
      </c>
      <c r="G146" s="19" t="s">
        <v>10</v>
      </c>
      <c r="H146" s="7" t="str" cm="1">
        <f t="array" ref="H146">_xlfn.IFS(Table1[[#This Row],[in_or_out]]="out", "Take_out",Table1[[#This Row],[in_or_out]]="in", "Dine_in", Table1[[#This Row],[in_or_out]]="","Unknown")</f>
        <v>Take_out</v>
      </c>
    </row>
    <row r="147" spans="1:8" ht="15.75">
      <c r="A147" s="18">
        <v>146</v>
      </c>
      <c r="B147" s="7" t="s">
        <v>168</v>
      </c>
      <c r="C147" s="12">
        <v>45335.384722222225</v>
      </c>
      <c r="D147" s="7" t="s">
        <v>50</v>
      </c>
      <c r="E147" s="7">
        <v>1</v>
      </c>
      <c r="F147" s="7" t="s">
        <v>29</v>
      </c>
      <c r="G147" s="19" t="s">
        <v>14</v>
      </c>
      <c r="H147" s="7" t="str" cm="1">
        <f t="array" ref="H147">_xlfn.IFS(Table1[[#This Row],[in_or_out]]="out", "Take_out",Table1[[#This Row],[in_or_out]]="in", "Dine_in", Table1[[#This Row],[in_or_out]]="","Unknown")</f>
        <v>Dine_in</v>
      </c>
    </row>
    <row r="148" spans="1:8" ht="15.75">
      <c r="A148" s="18">
        <v>147</v>
      </c>
      <c r="B148" s="7" t="s">
        <v>169</v>
      </c>
      <c r="C148" s="12">
        <v>45335.388194444444</v>
      </c>
      <c r="D148" s="7" t="s">
        <v>32</v>
      </c>
      <c r="E148" s="7">
        <v>1</v>
      </c>
      <c r="F148" s="7" t="s">
        <v>33</v>
      </c>
      <c r="G148" s="19" t="s">
        <v>10</v>
      </c>
      <c r="H148" s="7" t="str" cm="1">
        <f t="array" ref="H148">_xlfn.IFS(Table1[[#This Row],[in_or_out]]="out", "Take_out",Table1[[#This Row],[in_or_out]]="in", "Dine_in", Table1[[#This Row],[in_or_out]]="","Unknown")</f>
        <v>Take_out</v>
      </c>
    </row>
    <row r="149" spans="1:8" ht="15.75">
      <c r="A149" s="18">
        <v>148</v>
      </c>
      <c r="B149" s="7" t="s">
        <v>170</v>
      </c>
      <c r="C149" s="12">
        <v>45335.392361111109</v>
      </c>
      <c r="D149" s="7" t="s">
        <v>18</v>
      </c>
      <c r="E149" s="7">
        <v>1</v>
      </c>
      <c r="F149" s="7" t="s">
        <v>37</v>
      </c>
      <c r="G149" s="19" t="s">
        <v>14</v>
      </c>
      <c r="H149" s="7" t="str" cm="1">
        <f t="array" ref="H149">_xlfn.IFS(Table1[[#This Row],[in_or_out]]="out", "Take_out",Table1[[#This Row],[in_or_out]]="in", "Dine_in", Table1[[#This Row],[in_or_out]]="","Unknown")</f>
        <v>Dine_in</v>
      </c>
    </row>
    <row r="150" spans="1:8" ht="15.75">
      <c r="A150" s="18">
        <v>149</v>
      </c>
      <c r="B150" s="7" t="s">
        <v>171</v>
      </c>
      <c r="C150" s="12">
        <v>45335.395833333336</v>
      </c>
      <c r="D150" s="7" t="s">
        <v>42</v>
      </c>
      <c r="E150" s="7">
        <v>1</v>
      </c>
      <c r="F150" s="7" t="s">
        <v>40</v>
      </c>
      <c r="G150" s="19" t="s">
        <v>10</v>
      </c>
      <c r="H150" s="7" t="str" cm="1">
        <f t="array" ref="H150">_xlfn.IFS(Table1[[#This Row],[in_or_out]]="out", "Take_out",Table1[[#This Row],[in_or_out]]="in", "Dine_in", Table1[[#This Row],[in_or_out]]="","Unknown")</f>
        <v>Take_out</v>
      </c>
    </row>
    <row r="151" spans="1:8" ht="15.75">
      <c r="A151" s="18">
        <v>150</v>
      </c>
      <c r="B151" s="7" t="s">
        <v>172</v>
      </c>
      <c r="C151" s="12">
        <v>45335.399305555555</v>
      </c>
      <c r="D151" s="7" t="s">
        <v>54</v>
      </c>
      <c r="E151" s="7">
        <v>1</v>
      </c>
      <c r="F151" s="7" t="s">
        <v>43</v>
      </c>
      <c r="G151" s="19" t="s">
        <v>14</v>
      </c>
      <c r="H151" s="7" t="str" cm="1">
        <f t="array" ref="H151">_xlfn.IFS(Table1[[#This Row],[in_or_out]]="out", "Take_out",Table1[[#This Row],[in_or_out]]="in", "Dine_in", Table1[[#This Row],[in_or_out]]="","Unknown")</f>
        <v>Dine_in</v>
      </c>
    </row>
    <row r="152" spans="1:8" ht="15.75">
      <c r="A152" s="18">
        <v>151</v>
      </c>
      <c r="B152" s="7" t="s">
        <v>172</v>
      </c>
      <c r="C152" s="12">
        <v>45335.399305555555</v>
      </c>
      <c r="D152" s="7" t="s">
        <v>52</v>
      </c>
      <c r="E152" s="7">
        <v>1</v>
      </c>
      <c r="F152" s="7" t="s">
        <v>43</v>
      </c>
      <c r="G152" s="19" t="s">
        <v>789</v>
      </c>
      <c r="H152" s="7" t="str" cm="1">
        <f t="array" ref="H152">_xlfn.IFS(Table1[[#This Row],[in_or_out]]="out", "Take_out",Table1[[#This Row],[in_or_out]]="in", "Dine_in", Table1[[#This Row],[in_or_out]]="","Unknown")</f>
        <v>Unknown</v>
      </c>
    </row>
    <row r="153" spans="1:8" ht="15.75">
      <c r="A153" s="18">
        <v>152</v>
      </c>
      <c r="B153" s="7" t="s">
        <v>173</v>
      </c>
      <c r="C153" s="12">
        <v>45335.402777777781</v>
      </c>
      <c r="D153" s="7" t="s">
        <v>34</v>
      </c>
      <c r="E153" s="7">
        <v>1</v>
      </c>
      <c r="F153" s="7" t="s">
        <v>137</v>
      </c>
      <c r="G153" s="19" t="s">
        <v>10</v>
      </c>
      <c r="H153" s="7" t="str" cm="1">
        <f t="array" ref="H153">_xlfn.IFS(Table1[[#This Row],[in_or_out]]="out", "Take_out",Table1[[#This Row],[in_or_out]]="in", "Dine_in", Table1[[#This Row],[in_or_out]]="","Unknown")</f>
        <v>Take_out</v>
      </c>
    </row>
    <row r="154" spans="1:8" ht="15.75">
      <c r="A154" s="18">
        <v>153</v>
      </c>
      <c r="B154" s="7" t="s">
        <v>174</v>
      </c>
      <c r="C154" s="12">
        <v>45335.406944444447</v>
      </c>
      <c r="D154" s="7" t="s">
        <v>28</v>
      </c>
      <c r="E154" s="7">
        <v>1</v>
      </c>
      <c r="F154" s="7" t="s">
        <v>9</v>
      </c>
      <c r="G154" s="19" t="s">
        <v>14</v>
      </c>
      <c r="H154" s="7" t="str" cm="1">
        <f t="array" ref="H154">_xlfn.IFS(Table1[[#This Row],[in_or_out]]="out", "Take_out",Table1[[#This Row],[in_or_out]]="in", "Dine_in", Table1[[#This Row],[in_or_out]]="","Unknown")</f>
        <v>Dine_in</v>
      </c>
    </row>
    <row r="155" spans="1:8" ht="15.75">
      <c r="A155" s="18">
        <v>154</v>
      </c>
      <c r="B155" s="7" t="s">
        <v>175</v>
      </c>
      <c r="C155" s="12">
        <v>45335.410416666666</v>
      </c>
      <c r="D155" s="7" t="s">
        <v>160</v>
      </c>
      <c r="E155" s="7">
        <v>1</v>
      </c>
      <c r="F155" s="7" t="s">
        <v>144</v>
      </c>
      <c r="G155" s="19" t="s">
        <v>10</v>
      </c>
      <c r="H155" s="7" t="str" cm="1">
        <f t="array" ref="H155">_xlfn.IFS(Table1[[#This Row],[in_or_out]]="out", "Take_out",Table1[[#This Row],[in_or_out]]="in", "Dine_in", Table1[[#This Row],[in_or_out]]="","Unknown")</f>
        <v>Take_out</v>
      </c>
    </row>
    <row r="156" spans="1:8" ht="15.75">
      <c r="A156" s="18">
        <v>155</v>
      </c>
      <c r="B156" s="7" t="s">
        <v>176</v>
      </c>
      <c r="C156" s="12">
        <v>45335.413888888892</v>
      </c>
      <c r="D156" s="7" t="s">
        <v>12</v>
      </c>
      <c r="E156" s="7">
        <v>1</v>
      </c>
      <c r="F156" s="7" t="s">
        <v>141</v>
      </c>
      <c r="G156" s="19" t="s">
        <v>14</v>
      </c>
      <c r="H156" s="7" t="str" cm="1">
        <f t="array" ref="H156">_xlfn.IFS(Table1[[#This Row],[in_or_out]]="out", "Take_out",Table1[[#This Row],[in_or_out]]="in", "Dine_in", Table1[[#This Row],[in_or_out]]="","Unknown")</f>
        <v>Dine_in</v>
      </c>
    </row>
    <row r="157" spans="1:8" ht="15.75">
      <c r="A157" s="18">
        <v>156</v>
      </c>
      <c r="B157" s="7" t="s">
        <v>177</v>
      </c>
      <c r="C157" s="12">
        <v>45335.417361111111</v>
      </c>
      <c r="D157" s="7" t="s">
        <v>48</v>
      </c>
      <c r="E157" s="7">
        <v>1</v>
      </c>
      <c r="F157" s="7" t="s">
        <v>13</v>
      </c>
      <c r="G157" s="19" t="s">
        <v>10</v>
      </c>
      <c r="H157" s="7" t="str" cm="1">
        <f t="array" ref="H157">_xlfn.IFS(Table1[[#This Row],[in_or_out]]="out", "Take_out",Table1[[#This Row],[in_or_out]]="in", "Dine_in", Table1[[#This Row],[in_or_out]]="","Unknown")</f>
        <v>Take_out</v>
      </c>
    </row>
    <row r="158" spans="1:8" ht="15.75">
      <c r="A158" s="18">
        <v>157</v>
      </c>
      <c r="B158" s="7" t="s">
        <v>178</v>
      </c>
      <c r="C158" s="12">
        <v>45335.427777777775</v>
      </c>
      <c r="D158" s="7" t="s">
        <v>153</v>
      </c>
      <c r="E158" s="7">
        <v>1</v>
      </c>
      <c r="F158" s="7" t="s">
        <v>25</v>
      </c>
      <c r="G158" s="19" t="s">
        <v>14</v>
      </c>
      <c r="H158" s="7" t="str" cm="1">
        <f t="array" ref="H158">_xlfn.IFS(Table1[[#This Row],[in_or_out]]="out", "Take_out",Table1[[#This Row],[in_or_out]]="in", "Dine_in", Table1[[#This Row],[in_or_out]]="","Unknown")</f>
        <v>Dine_in</v>
      </c>
    </row>
    <row r="159" spans="1:8" ht="15.75">
      <c r="A159" s="18">
        <v>158</v>
      </c>
      <c r="B159" s="7" t="s">
        <v>179</v>
      </c>
      <c r="C159" s="12">
        <v>45335.438194444447</v>
      </c>
      <c r="D159" s="7" t="s">
        <v>28</v>
      </c>
      <c r="E159" s="7">
        <v>1</v>
      </c>
      <c r="F159" s="7" t="s">
        <v>19</v>
      </c>
      <c r="G159" s="19" t="s">
        <v>10</v>
      </c>
      <c r="H159" s="7" t="str" cm="1">
        <f t="array" ref="H159">_xlfn.IFS(Table1[[#This Row],[in_or_out]]="out", "Take_out",Table1[[#This Row],[in_or_out]]="in", "Dine_in", Table1[[#This Row],[in_or_out]]="","Unknown")</f>
        <v>Take_out</v>
      </c>
    </row>
    <row r="160" spans="1:8" ht="15.75">
      <c r="A160" s="18">
        <v>159</v>
      </c>
      <c r="B160" s="7" t="s">
        <v>180</v>
      </c>
      <c r="C160" s="12">
        <v>45335.447916666664</v>
      </c>
      <c r="D160" s="7" t="s">
        <v>12</v>
      </c>
      <c r="E160" s="7">
        <v>1</v>
      </c>
      <c r="F160" s="7" t="s">
        <v>29</v>
      </c>
      <c r="G160" s="19" t="s">
        <v>14</v>
      </c>
      <c r="H160" s="7" t="str" cm="1">
        <f t="array" ref="H160">_xlfn.IFS(Table1[[#This Row],[in_or_out]]="out", "Take_out",Table1[[#This Row],[in_or_out]]="in", "Dine_in", Table1[[#This Row],[in_or_out]]="","Unknown")</f>
        <v>Dine_in</v>
      </c>
    </row>
    <row r="161" spans="1:8" ht="15.75">
      <c r="A161" s="18">
        <v>160</v>
      </c>
      <c r="B161" s="7" t="s">
        <v>180</v>
      </c>
      <c r="C161" s="12">
        <v>45335.447916666664</v>
      </c>
      <c r="D161" s="7" t="s">
        <v>36</v>
      </c>
      <c r="E161" s="7">
        <v>1</v>
      </c>
      <c r="F161" s="7" t="s">
        <v>29</v>
      </c>
      <c r="G161" s="19" t="s">
        <v>789</v>
      </c>
      <c r="H161" s="7" t="str" cm="1">
        <f t="array" ref="H161">_xlfn.IFS(Table1[[#This Row],[in_or_out]]="out", "Take_out",Table1[[#This Row],[in_or_out]]="in", "Dine_in", Table1[[#This Row],[in_or_out]]="","Unknown")</f>
        <v>Unknown</v>
      </c>
    </row>
    <row r="162" spans="1:8" ht="15.75">
      <c r="A162" s="18">
        <v>161</v>
      </c>
      <c r="B162" s="7" t="s">
        <v>181</v>
      </c>
      <c r="C162" s="12">
        <v>45335.458333333336</v>
      </c>
      <c r="D162" s="7" t="s">
        <v>34</v>
      </c>
      <c r="E162" s="7">
        <v>1</v>
      </c>
      <c r="F162" s="7" t="s">
        <v>22</v>
      </c>
      <c r="G162" s="19" t="s">
        <v>10</v>
      </c>
      <c r="H162" s="7" t="str" cm="1">
        <f t="array" ref="H162">_xlfn.IFS(Table1[[#This Row],[in_or_out]]="out", "Take_out",Table1[[#This Row],[in_or_out]]="in", "Dine_in", Table1[[#This Row],[in_or_out]]="","Unknown")</f>
        <v>Take_out</v>
      </c>
    </row>
    <row r="163" spans="1:8" ht="15.75">
      <c r="A163" s="18">
        <v>162</v>
      </c>
      <c r="B163" s="7" t="s">
        <v>182</v>
      </c>
      <c r="C163" s="12">
        <v>45335.46875</v>
      </c>
      <c r="D163" s="7" t="s">
        <v>59</v>
      </c>
      <c r="E163" s="7">
        <v>1</v>
      </c>
      <c r="F163" s="7" t="s">
        <v>9</v>
      </c>
      <c r="G163" s="19" t="s">
        <v>14</v>
      </c>
      <c r="H163" s="7" t="str" cm="1">
        <f t="array" ref="H163">_xlfn.IFS(Table1[[#This Row],[in_or_out]]="out", "Take_out",Table1[[#This Row],[in_or_out]]="in", "Dine_in", Table1[[#This Row],[in_or_out]]="","Unknown")</f>
        <v>Dine_in</v>
      </c>
    </row>
    <row r="164" spans="1:8" ht="15.75">
      <c r="A164" s="18">
        <v>163</v>
      </c>
      <c r="B164" s="7" t="s">
        <v>183</v>
      </c>
      <c r="C164" s="12">
        <v>45335.478472222225</v>
      </c>
      <c r="D164" s="7" t="s">
        <v>38</v>
      </c>
      <c r="E164" s="7">
        <v>1</v>
      </c>
      <c r="F164" s="7" t="s">
        <v>137</v>
      </c>
      <c r="G164" s="19" t="s">
        <v>10</v>
      </c>
      <c r="H164" s="7" t="str" cm="1">
        <f t="array" ref="H164">_xlfn.IFS(Table1[[#This Row],[in_or_out]]="out", "Take_out",Table1[[#This Row],[in_or_out]]="in", "Dine_in", Table1[[#This Row],[in_or_out]]="","Unknown")</f>
        <v>Take_out</v>
      </c>
    </row>
    <row r="165" spans="1:8" ht="15.75">
      <c r="A165" s="18">
        <v>164</v>
      </c>
      <c r="B165" s="7" t="s">
        <v>184</v>
      </c>
      <c r="C165" s="12">
        <v>45335.488194444442</v>
      </c>
      <c r="D165" s="7" t="s">
        <v>160</v>
      </c>
      <c r="E165" s="7">
        <v>1</v>
      </c>
      <c r="F165" s="7" t="s">
        <v>37</v>
      </c>
      <c r="G165" s="19" t="s">
        <v>14</v>
      </c>
      <c r="H165" s="7" t="str" cm="1">
        <f t="array" ref="H165">_xlfn.IFS(Table1[[#This Row],[in_or_out]]="out", "Take_out",Table1[[#This Row],[in_or_out]]="in", "Dine_in", Table1[[#This Row],[in_or_out]]="","Unknown")</f>
        <v>Dine_in</v>
      </c>
    </row>
    <row r="166" spans="1:8" ht="15.75">
      <c r="A166" s="18">
        <v>165</v>
      </c>
      <c r="B166" s="7" t="s">
        <v>184</v>
      </c>
      <c r="C166" s="12">
        <v>45335.488194444442</v>
      </c>
      <c r="D166" s="7" t="s">
        <v>30</v>
      </c>
      <c r="E166" s="7">
        <v>1</v>
      </c>
      <c r="F166" s="7" t="s">
        <v>37</v>
      </c>
      <c r="G166" s="19" t="s">
        <v>789</v>
      </c>
      <c r="H166" s="7" t="str" cm="1">
        <f t="array" ref="H166">_xlfn.IFS(Table1[[#This Row],[in_or_out]]="out", "Take_out",Table1[[#This Row],[in_or_out]]="in", "Dine_in", Table1[[#This Row],[in_or_out]]="","Unknown")</f>
        <v>Unknown</v>
      </c>
    </row>
    <row r="167" spans="1:8" ht="15.75">
      <c r="A167" s="18">
        <v>166</v>
      </c>
      <c r="B167" s="7" t="s">
        <v>185</v>
      </c>
      <c r="C167" s="12">
        <v>45335.497916666667</v>
      </c>
      <c r="D167" s="7" t="s">
        <v>8</v>
      </c>
      <c r="E167" s="7">
        <v>1</v>
      </c>
      <c r="F167" s="7" t="s">
        <v>144</v>
      </c>
      <c r="G167" s="19" t="s">
        <v>10</v>
      </c>
      <c r="H167" s="7" t="str" cm="1">
        <f t="array" ref="H167">_xlfn.IFS(Table1[[#This Row],[in_or_out]]="out", "Take_out",Table1[[#This Row],[in_or_out]]="in", "Dine_in", Table1[[#This Row],[in_or_out]]="","Unknown")</f>
        <v>Take_out</v>
      </c>
    </row>
    <row r="168" spans="1:8" ht="15.75">
      <c r="A168" s="18">
        <v>167</v>
      </c>
      <c r="B168" s="7" t="s">
        <v>186</v>
      </c>
      <c r="C168" s="12">
        <v>45335.502083333333</v>
      </c>
      <c r="D168" s="7" t="s">
        <v>54</v>
      </c>
      <c r="E168" s="7">
        <v>1</v>
      </c>
      <c r="F168" s="7" t="s">
        <v>141</v>
      </c>
      <c r="G168" s="19" t="s">
        <v>14</v>
      </c>
      <c r="H168" s="7" t="str" cm="1">
        <f t="array" ref="H168">_xlfn.IFS(Table1[[#This Row],[in_or_out]]="out", "Take_out",Table1[[#This Row],[in_or_out]]="in", "Dine_in", Table1[[#This Row],[in_or_out]]="","Unknown")</f>
        <v>Dine_in</v>
      </c>
    </row>
    <row r="169" spans="1:8" ht="15.75">
      <c r="A169" s="18">
        <v>168</v>
      </c>
      <c r="B169" s="7" t="s">
        <v>187</v>
      </c>
      <c r="C169" s="12">
        <v>45335.506944444445</v>
      </c>
      <c r="D169" s="7" t="s">
        <v>56</v>
      </c>
      <c r="E169" s="7">
        <v>1</v>
      </c>
      <c r="F169" s="7" t="s">
        <v>9</v>
      </c>
      <c r="G169" s="19" t="s">
        <v>10</v>
      </c>
      <c r="H169" s="7" t="str" cm="1">
        <f t="array" ref="H169">_xlfn.IFS(Table1[[#This Row],[in_or_out]]="out", "Take_out",Table1[[#This Row],[in_or_out]]="in", "Dine_in", Table1[[#This Row],[in_or_out]]="","Unknown")</f>
        <v>Take_out</v>
      </c>
    </row>
    <row r="170" spans="1:8" ht="15.75">
      <c r="A170" s="18">
        <v>169</v>
      </c>
      <c r="B170" s="7" t="s">
        <v>188</v>
      </c>
      <c r="C170" s="12">
        <v>45335.511805555558</v>
      </c>
      <c r="D170" s="7" t="s">
        <v>89</v>
      </c>
      <c r="E170" s="7">
        <v>1</v>
      </c>
      <c r="F170" s="7" t="s">
        <v>13</v>
      </c>
      <c r="G170" s="19" t="s">
        <v>14</v>
      </c>
      <c r="H170" s="7" t="str" cm="1">
        <f t="array" ref="H170">_xlfn.IFS(Table1[[#This Row],[in_or_out]]="out", "Take_out",Table1[[#This Row],[in_or_out]]="in", "Dine_in", Table1[[#This Row],[in_or_out]]="","Unknown")</f>
        <v>Dine_in</v>
      </c>
    </row>
    <row r="171" spans="1:8" ht="15.75">
      <c r="A171" s="18">
        <v>170</v>
      </c>
      <c r="B171" s="7" t="s">
        <v>189</v>
      </c>
      <c r="C171" s="12">
        <v>45335.51666666667</v>
      </c>
      <c r="D171" s="7" t="s">
        <v>160</v>
      </c>
      <c r="E171" s="7">
        <v>1</v>
      </c>
      <c r="F171" s="7" t="s">
        <v>25</v>
      </c>
      <c r="G171" s="19" t="s">
        <v>10</v>
      </c>
      <c r="H171" s="7" t="str" cm="1">
        <f t="array" ref="H171">_xlfn.IFS(Table1[[#This Row],[in_or_out]]="out", "Take_out",Table1[[#This Row],[in_or_out]]="in", "Dine_in", Table1[[#This Row],[in_or_out]]="","Unknown")</f>
        <v>Take_out</v>
      </c>
    </row>
    <row r="172" spans="1:8" ht="15.75">
      <c r="A172" s="18">
        <v>171</v>
      </c>
      <c r="B172" s="7" t="s">
        <v>189</v>
      </c>
      <c r="C172" s="12">
        <v>45335.51666666667</v>
      </c>
      <c r="D172" s="7" t="s">
        <v>34</v>
      </c>
      <c r="E172" s="7">
        <v>1</v>
      </c>
      <c r="F172" s="7" t="s">
        <v>25</v>
      </c>
      <c r="G172" s="19" t="s">
        <v>789</v>
      </c>
      <c r="H172" s="7" t="str" cm="1">
        <f t="array" ref="H172">_xlfn.IFS(Table1[[#This Row],[in_or_out]]="out", "Take_out",Table1[[#This Row],[in_or_out]]="in", "Dine_in", Table1[[#This Row],[in_or_out]]="","Unknown")</f>
        <v>Unknown</v>
      </c>
    </row>
    <row r="173" spans="1:8" ht="15.75">
      <c r="A173" s="18">
        <v>172</v>
      </c>
      <c r="B173" s="7" t="s">
        <v>190</v>
      </c>
      <c r="C173" s="12">
        <v>45335.521527777775</v>
      </c>
      <c r="D173" s="7" t="s">
        <v>45</v>
      </c>
      <c r="E173" s="7">
        <v>1</v>
      </c>
      <c r="F173" s="7" t="s">
        <v>16</v>
      </c>
      <c r="G173" s="19" t="s">
        <v>14</v>
      </c>
      <c r="H173" s="7" t="str" cm="1">
        <f t="array" ref="H173">_xlfn.IFS(Table1[[#This Row],[in_or_out]]="out", "Take_out",Table1[[#This Row],[in_or_out]]="in", "Dine_in", Table1[[#This Row],[in_or_out]]="","Unknown")</f>
        <v>Dine_in</v>
      </c>
    </row>
    <row r="174" spans="1:8" ht="15.75">
      <c r="A174" s="18">
        <v>173</v>
      </c>
      <c r="B174" s="7" t="s">
        <v>191</v>
      </c>
      <c r="C174" s="12">
        <v>45335.526388888888</v>
      </c>
      <c r="D174" s="7" t="s">
        <v>30</v>
      </c>
      <c r="E174" s="7">
        <v>1</v>
      </c>
      <c r="F174" s="7" t="s">
        <v>19</v>
      </c>
      <c r="G174" s="19" t="s">
        <v>10</v>
      </c>
      <c r="H174" s="7" t="str" cm="1">
        <f t="array" ref="H174">_xlfn.IFS(Table1[[#This Row],[in_or_out]]="out", "Take_out",Table1[[#This Row],[in_or_out]]="in", "Dine_in", Table1[[#This Row],[in_or_out]]="","Unknown")</f>
        <v>Take_out</v>
      </c>
    </row>
    <row r="175" spans="1:8" ht="15.75">
      <c r="A175" s="18">
        <v>174</v>
      </c>
      <c r="B175" s="7" t="s">
        <v>192</v>
      </c>
      <c r="C175" s="12">
        <v>45335.53125</v>
      </c>
      <c r="D175" s="7" t="s">
        <v>42</v>
      </c>
      <c r="E175" s="7">
        <v>1</v>
      </c>
      <c r="F175" s="7" t="s">
        <v>22</v>
      </c>
      <c r="G175" s="19" t="s">
        <v>14</v>
      </c>
      <c r="H175" s="7" t="str" cm="1">
        <f t="array" ref="H175">_xlfn.IFS(Table1[[#This Row],[in_or_out]]="out", "Take_out",Table1[[#This Row],[in_or_out]]="in", "Dine_in", Table1[[#This Row],[in_or_out]]="","Unknown")</f>
        <v>Dine_in</v>
      </c>
    </row>
    <row r="176" spans="1:8" ht="15.75">
      <c r="A176" s="18">
        <v>175</v>
      </c>
      <c r="B176" s="7" t="s">
        <v>193</v>
      </c>
      <c r="C176" s="12">
        <v>45335.536111111112</v>
      </c>
      <c r="D176" s="7" t="s">
        <v>26</v>
      </c>
      <c r="E176" s="7">
        <v>1</v>
      </c>
      <c r="F176" s="7" t="s">
        <v>29</v>
      </c>
      <c r="G176" s="19" t="s">
        <v>10</v>
      </c>
      <c r="H176" s="7" t="str" cm="1">
        <f t="array" ref="H176">_xlfn.IFS(Table1[[#This Row],[in_or_out]]="out", "Take_out",Table1[[#This Row],[in_or_out]]="in", "Dine_in", Table1[[#This Row],[in_or_out]]="","Unknown")</f>
        <v>Take_out</v>
      </c>
    </row>
    <row r="177" spans="1:8" ht="15.75">
      <c r="A177" s="18">
        <v>176</v>
      </c>
      <c r="B177" s="7" t="s">
        <v>194</v>
      </c>
      <c r="C177" s="12">
        <v>45335.540972222225</v>
      </c>
      <c r="D177" s="7" t="s">
        <v>48</v>
      </c>
      <c r="E177" s="7">
        <v>1</v>
      </c>
      <c r="F177" s="7" t="s">
        <v>33</v>
      </c>
      <c r="G177" s="19" t="s">
        <v>14</v>
      </c>
      <c r="H177" s="7" t="str" cm="1">
        <f t="array" ref="H177">_xlfn.IFS(Table1[[#This Row],[in_or_out]]="out", "Take_out",Table1[[#This Row],[in_or_out]]="in", "Dine_in", Table1[[#This Row],[in_or_out]]="","Unknown")</f>
        <v>Dine_in</v>
      </c>
    </row>
    <row r="178" spans="1:8" ht="15.75">
      <c r="A178" s="18">
        <v>177</v>
      </c>
      <c r="B178" s="7" t="s">
        <v>194</v>
      </c>
      <c r="C178" s="12">
        <v>45335.540972222225</v>
      </c>
      <c r="D178" s="7" t="s">
        <v>166</v>
      </c>
      <c r="E178" s="7">
        <v>1</v>
      </c>
      <c r="F178" s="7" t="s">
        <v>33</v>
      </c>
      <c r="G178" s="19" t="s">
        <v>789</v>
      </c>
      <c r="H178" s="7" t="str" cm="1">
        <f t="array" ref="H178">_xlfn.IFS(Table1[[#This Row],[in_or_out]]="out", "Take_out",Table1[[#This Row],[in_or_out]]="in", "Dine_in", Table1[[#This Row],[in_or_out]]="","Unknown")</f>
        <v>Unknown</v>
      </c>
    </row>
    <row r="179" spans="1:8" ht="15.75">
      <c r="A179" s="18">
        <v>178</v>
      </c>
      <c r="B179" s="7" t="s">
        <v>195</v>
      </c>
      <c r="C179" s="12">
        <v>45335.54583333333</v>
      </c>
      <c r="D179" s="7" t="s">
        <v>52</v>
      </c>
      <c r="E179" s="7">
        <v>1</v>
      </c>
      <c r="F179" s="7" t="s">
        <v>37</v>
      </c>
      <c r="G179" s="19" t="s">
        <v>10</v>
      </c>
      <c r="H179" s="7" t="str" cm="1">
        <f t="array" ref="H179">_xlfn.IFS(Table1[[#This Row],[in_or_out]]="out", "Take_out",Table1[[#This Row],[in_or_out]]="in", "Dine_in", Table1[[#This Row],[in_or_out]]="","Unknown")</f>
        <v>Take_out</v>
      </c>
    </row>
    <row r="180" spans="1:8" ht="15.75">
      <c r="A180" s="18">
        <v>179</v>
      </c>
      <c r="B180" s="7" t="s">
        <v>196</v>
      </c>
      <c r="C180" s="12">
        <v>45335.550694444442</v>
      </c>
      <c r="D180" s="7" t="s">
        <v>24</v>
      </c>
      <c r="E180" s="7">
        <v>1</v>
      </c>
      <c r="F180" s="7" t="s">
        <v>40</v>
      </c>
      <c r="G180" s="19" t="s">
        <v>14</v>
      </c>
      <c r="H180" s="7" t="str" cm="1">
        <f t="array" ref="H180">_xlfn.IFS(Table1[[#This Row],[in_or_out]]="out", "Take_out",Table1[[#This Row],[in_or_out]]="in", "Dine_in", Table1[[#This Row],[in_or_out]]="","Unknown")</f>
        <v>Dine_in</v>
      </c>
    </row>
    <row r="181" spans="1:8" ht="15.75">
      <c r="A181" s="18">
        <v>180</v>
      </c>
      <c r="B181" s="7" t="s">
        <v>197</v>
      </c>
      <c r="C181" s="12">
        <v>45335.555555555555</v>
      </c>
      <c r="D181" s="7" t="s">
        <v>18</v>
      </c>
      <c r="E181" s="7">
        <v>1</v>
      </c>
      <c r="F181" s="7" t="s">
        <v>43</v>
      </c>
      <c r="G181" s="19" t="s">
        <v>10</v>
      </c>
      <c r="H181" s="7" t="str" cm="1">
        <f t="array" ref="H181">_xlfn.IFS(Table1[[#This Row],[in_or_out]]="out", "Take_out",Table1[[#This Row],[in_or_out]]="in", "Dine_in", Table1[[#This Row],[in_or_out]]="","Unknown")</f>
        <v>Take_out</v>
      </c>
    </row>
    <row r="182" spans="1:8" ht="15.75">
      <c r="A182" s="18">
        <v>181</v>
      </c>
      <c r="B182" s="7" t="s">
        <v>198</v>
      </c>
      <c r="C182" s="12">
        <v>45335.560416666667</v>
      </c>
      <c r="D182" s="7" t="s">
        <v>28</v>
      </c>
      <c r="E182" s="7">
        <v>1</v>
      </c>
      <c r="F182" s="7" t="s">
        <v>137</v>
      </c>
      <c r="G182" s="19" t="s">
        <v>14</v>
      </c>
      <c r="H182" s="7" t="str" cm="1">
        <f t="array" ref="H182">_xlfn.IFS(Table1[[#This Row],[in_or_out]]="out", "Take_out",Table1[[#This Row],[in_or_out]]="in", "Dine_in", Table1[[#This Row],[in_or_out]]="","Unknown")</f>
        <v>Dine_in</v>
      </c>
    </row>
    <row r="183" spans="1:8" ht="15.75">
      <c r="A183" s="18">
        <v>182</v>
      </c>
      <c r="B183" s="7" t="s">
        <v>198</v>
      </c>
      <c r="C183" s="12">
        <v>45335.560416666667</v>
      </c>
      <c r="D183" s="7" t="s">
        <v>38</v>
      </c>
      <c r="E183" s="7">
        <v>1</v>
      </c>
      <c r="F183" s="7" t="s">
        <v>137</v>
      </c>
      <c r="G183" s="19" t="s">
        <v>789</v>
      </c>
      <c r="H183" s="7" t="str" cm="1">
        <f t="array" ref="H183">_xlfn.IFS(Table1[[#This Row],[in_or_out]]="out", "Take_out",Table1[[#This Row],[in_or_out]]="in", "Dine_in", Table1[[#This Row],[in_or_out]]="","Unknown")</f>
        <v>Unknown</v>
      </c>
    </row>
    <row r="184" spans="1:8" ht="15.75">
      <c r="A184" s="18">
        <v>183</v>
      </c>
      <c r="B184" s="7" t="s">
        <v>199</v>
      </c>
      <c r="C184" s="12">
        <v>45335.56527777778</v>
      </c>
      <c r="D184" s="7" t="s">
        <v>142</v>
      </c>
      <c r="E184" s="7">
        <v>1</v>
      </c>
      <c r="F184" s="7" t="s">
        <v>144</v>
      </c>
      <c r="G184" s="19" t="s">
        <v>10</v>
      </c>
      <c r="H184" s="7" t="str" cm="1">
        <f t="array" ref="H184">_xlfn.IFS(Table1[[#This Row],[in_or_out]]="out", "Take_out",Table1[[#This Row],[in_or_out]]="in", "Dine_in", Table1[[#This Row],[in_or_out]]="","Unknown")</f>
        <v>Take_out</v>
      </c>
    </row>
    <row r="185" spans="1:8" ht="15.75">
      <c r="A185" s="18">
        <v>184</v>
      </c>
      <c r="B185" s="7" t="s">
        <v>200</v>
      </c>
      <c r="C185" s="12">
        <v>45335.570138888892</v>
      </c>
      <c r="D185" s="7" t="s">
        <v>123</v>
      </c>
      <c r="E185" s="7">
        <v>1</v>
      </c>
      <c r="F185" s="7" t="s">
        <v>9</v>
      </c>
      <c r="G185" s="19" t="s">
        <v>14</v>
      </c>
      <c r="H185" s="7" t="str" cm="1">
        <f t="array" ref="H185">_xlfn.IFS(Table1[[#This Row],[in_or_out]]="out", "Take_out",Table1[[#This Row],[in_or_out]]="in", "Dine_in", Table1[[#This Row],[in_or_out]]="","Unknown")</f>
        <v>Dine_in</v>
      </c>
    </row>
    <row r="186" spans="1:8" ht="15.75">
      <c r="A186" s="18">
        <v>185</v>
      </c>
      <c r="B186" s="7" t="s">
        <v>201</v>
      </c>
      <c r="C186" s="12">
        <v>45335.574999999997</v>
      </c>
      <c r="D186" s="7" t="s">
        <v>21</v>
      </c>
      <c r="E186" s="7">
        <v>1</v>
      </c>
      <c r="F186" s="7" t="s">
        <v>141</v>
      </c>
      <c r="G186" s="19" t="s">
        <v>10</v>
      </c>
      <c r="H186" s="7" t="str" cm="1">
        <f t="array" ref="H186">_xlfn.IFS(Table1[[#This Row],[in_or_out]]="out", "Take_out",Table1[[#This Row],[in_or_out]]="in", "Dine_in", Table1[[#This Row],[in_or_out]]="","Unknown")</f>
        <v>Take_out</v>
      </c>
    </row>
    <row r="187" spans="1:8" ht="15.75">
      <c r="A187" s="18">
        <v>186</v>
      </c>
      <c r="B187" s="7" t="s">
        <v>202</v>
      </c>
      <c r="C187" s="12">
        <v>45335.579861111109</v>
      </c>
      <c r="D187" s="7" t="s">
        <v>67</v>
      </c>
      <c r="E187" s="7">
        <v>1</v>
      </c>
      <c r="F187" s="7" t="s">
        <v>13</v>
      </c>
      <c r="G187" s="19" t="s">
        <v>14</v>
      </c>
      <c r="H187" s="7" t="str" cm="1">
        <f t="array" ref="H187">_xlfn.IFS(Table1[[#This Row],[in_or_out]]="out", "Take_out",Table1[[#This Row],[in_or_out]]="in", "Dine_in", Table1[[#This Row],[in_or_out]]="","Unknown")</f>
        <v>Dine_in</v>
      </c>
    </row>
    <row r="188" spans="1:8" ht="15.75">
      <c r="A188" s="18">
        <v>187</v>
      </c>
      <c r="B188" s="7" t="s">
        <v>202</v>
      </c>
      <c r="C188" s="12">
        <v>45335.579861111109</v>
      </c>
      <c r="D188" s="7" t="s">
        <v>50</v>
      </c>
      <c r="E188" s="7">
        <v>1</v>
      </c>
      <c r="F188" s="7" t="s">
        <v>13</v>
      </c>
      <c r="G188" s="19" t="s">
        <v>789</v>
      </c>
      <c r="H188" s="7" t="str" cm="1">
        <f t="array" ref="H188">_xlfn.IFS(Table1[[#This Row],[in_or_out]]="out", "Take_out",Table1[[#This Row],[in_or_out]]="in", "Dine_in", Table1[[#This Row],[in_or_out]]="","Unknown")</f>
        <v>Unknown</v>
      </c>
    </row>
    <row r="189" spans="1:8" ht="15.75">
      <c r="A189" s="18">
        <v>188</v>
      </c>
      <c r="B189" s="7" t="s">
        <v>203</v>
      </c>
      <c r="C189" s="12">
        <v>45335.585416666669</v>
      </c>
      <c r="D189" s="7" t="s">
        <v>32</v>
      </c>
      <c r="E189" s="7">
        <v>1</v>
      </c>
      <c r="F189" s="7" t="s">
        <v>25</v>
      </c>
      <c r="G189" s="19" t="s">
        <v>10</v>
      </c>
      <c r="H189" s="7" t="str" cm="1">
        <f t="array" ref="H189">_xlfn.IFS(Table1[[#This Row],[in_or_out]]="out", "Take_out",Table1[[#This Row],[in_or_out]]="in", "Dine_in", Table1[[#This Row],[in_or_out]]="","Unknown")</f>
        <v>Take_out</v>
      </c>
    </row>
    <row r="190" spans="1:8" ht="15.75">
      <c r="A190" s="18">
        <v>189</v>
      </c>
      <c r="B190" s="7" t="s">
        <v>204</v>
      </c>
      <c r="C190" s="12">
        <v>45335.590277777781</v>
      </c>
      <c r="D190" s="7" t="s">
        <v>36</v>
      </c>
      <c r="E190" s="7">
        <v>1</v>
      </c>
      <c r="F190" s="7" t="s">
        <v>16</v>
      </c>
      <c r="G190" s="19" t="s">
        <v>14</v>
      </c>
      <c r="H190" s="7" t="str" cm="1">
        <f t="array" ref="H190">_xlfn.IFS(Table1[[#This Row],[in_or_out]]="out", "Take_out",Table1[[#This Row],[in_or_out]]="in", "Dine_in", Table1[[#This Row],[in_or_out]]="","Unknown")</f>
        <v>Dine_in</v>
      </c>
    </row>
    <row r="191" spans="1:8" ht="15.75">
      <c r="A191" s="18">
        <v>190</v>
      </c>
      <c r="B191" s="7" t="s">
        <v>205</v>
      </c>
      <c r="C191" s="12">
        <v>45335.604166666664</v>
      </c>
      <c r="D191" s="7" t="s">
        <v>59</v>
      </c>
      <c r="E191" s="7">
        <v>1</v>
      </c>
      <c r="F191" s="7" t="s">
        <v>13</v>
      </c>
      <c r="G191" s="19" t="s">
        <v>10</v>
      </c>
      <c r="H191" s="7" t="str" cm="1">
        <f t="array" ref="H191">_xlfn.IFS(Table1[[#This Row],[in_or_out]]="out", "Take_out",Table1[[#This Row],[in_or_out]]="in", "Dine_in", Table1[[#This Row],[in_or_out]]="","Unknown")</f>
        <v>Take_out</v>
      </c>
    </row>
    <row r="192" spans="1:8" ht="15.75">
      <c r="A192" s="18">
        <v>191</v>
      </c>
      <c r="B192" s="7" t="s">
        <v>206</v>
      </c>
      <c r="C192" s="12">
        <v>45335.618055555555</v>
      </c>
      <c r="D192" s="7" t="s">
        <v>34</v>
      </c>
      <c r="E192" s="7">
        <v>1</v>
      </c>
      <c r="F192" s="7" t="s">
        <v>141</v>
      </c>
      <c r="G192" s="19" t="s">
        <v>14</v>
      </c>
      <c r="H192" s="7" t="str" cm="1">
        <f t="array" ref="H192">_xlfn.IFS(Table1[[#This Row],[in_or_out]]="out", "Take_out",Table1[[#This Row],[in_or_out]]="in", "Dine_in", Table1[[#This Row],[in_or_out]]="","Unknown")</f>
        <v>Dine_in</v>
      </c>
    </row>
    <row r="193" spans="1:8" ht="15.75">
      <c r="A193" s="18">
        <v>192</v>
      </c>
      <c r="B193" s="7" t="s">
        <v>207</v>
      </c>
      <c r="C193" s="12">
        <v>45335.631944444445</v>
      </c>
      <c r="D193" s="7" t="s">
        <v>28</v>
      </c>
      <c r="E193" s="7">
        <v>1</v>
      </c>
      <c r="F193" s="7" t="s">
        <v>9</v>
      </c>
      <c r="G193" s="19" t="s">
        <v>10</v>
      </c>
      <c r="H193" s="7" t="str" cm="1">
        <f t="array" ref="H193">_xlfn.IFS(Table1[[#This Row],[in_or_out]]="out", "Take_out",Table1[[#This Row],[in_or_out]]="in", "Dine_in", Table1[[#This Row],[in_or_out]]="","Unknown")</f>
        <v>Take_out</v>
      </c>
    </row>
    <row r="194" spans="1:8" ht="15.75">
      <c r="A194" s="18">
        <v>193</v>
      </c>
      <c r="B194" s="7" t="s">
        <v>208</v>
      </c>
      <c r="C194" s="12">
        <v>45335.645833333336</v>
      </c>
      <c r="D194" s="7" t="s">
        <v>153</v>
      </c>
      <c r="E194" s="7">
        <v>1</v>
      </c>
      <c r="F194" s="7" t="s">
        <v>25</v>
      </c>
      <c r="G194" s="19" t="s">
        <v>14</v>
      </c>
      <c r="H194" s="7" t="str" cm="1">
        <f t="array" ref="H194">_xlfn.IFS(Table1[[#This Row],[in_or_out]]="out", "Take_out",Table1[[#This Row],[in_or_out]]="in", "Dine_in", Table1[[#This Row],[in_or_out]]="","Unknown")</f>
        <v>Dine_in</v>
      </c>
    </row>
    <row r="195" spans="1:8" ht="15.75">
      <c r="A195" s="18">
        <v>194</v>
      </c>
      <c r="B195" s="7" t="s">
        <v>209</v>
      </c>
      <c r="C195" s="12">
        <v>45335.659722222219</v>
      </c>
      <c r="D195" s="7" t="s">
        <v>38</v>
      </c>
      <c r="E195" s="7">
        <v>1</v>
      </c>
      <c r="F195" s="7" t="s">
        <v>16</v>
      </c>
      <c r="G195" s="19" t="s">
        <v>10</v>
      </c>
      <c r="H195" s="7" t="str" cm="1">
        <f t="array" ref="H195">_xlfn.IFS(Table1[[#This Row],[in_or_out]]="out", "Take_out",Table1[[#This Row],[in_or_out]]="in", "Dine_in", Table1[[#This Row],[in_or_out]]="","Unknown")</f>
        <v>Take_out</v>
      </c>
    </row>
    <row r="196" spans="1:8" ht="15.75">
      <c r="A196" s="18">
        <v>195</v>
      </c>
      <c r="B196" s="7" t="s">
        <v>210</v>
      </c>
      <c r="C196" s="12">
        <v>45335.67291666667</v>
      </c>
      <c r="D196" s="7" t="s">
        <v>56</v>
      </c>
      <c r="E196" s="7">
        <v>1</v>
      </c>
      <c r="F196" s="7" t="s">
        <v>19</v>
      </c>
      <c r="G196" s="19" t="s">
        <v>14</v>
      </c>
      <c r="H196" s="7" t="str" cm="1">
        <f t="array" ref="H196">_xlfn.IFS(Table1[[#This Row],[in_or_out]]="out", "Take_out",Table1[[#This Row],[in_or_out]]="in", "Dine_in", Table1[[#This Row],[in_or_out]]="","Unknown")</f>
        <v>Dine_in</v>
      </c>
    </row>
    <row r="197" spans="1:8" ht="15.75">
      <c r="A197" s="18">
        <v>196</v>
      </c>
      <c r="B197" s="7" t="s">
        <v>210</v>
      </c>
      <c r="C197" s="12">
        <v>45335.67291666667</v>
      </c>
      <c r="D197" s="7" t="s">
        <v>142</v>
      </c>
      <c r="E197" s="7">
        <v>1</v>
      </c>
      <c r="F197" s="7" t="s">
        <v>19</v>
      </c>
      <c r="G197" s="19" t="s">
        <v>789</v>
      </c>
      <c r="H197" s="7" t="str" cm="1">
        <f t="array" ref="H197">_xlfn.IFS(Table1[[#This Row],[in_or_out]]="out", "Take_out",Table1[[#This Row],[in_or_out]]="in", "Dine_in", Table1[[#This Row],[in_or_out]]="","Unknown")</f>
        <v>Unknown</v>
      </c>
    </row>
    <row r="198" spans="1:8" ht="15.75">
      <c r="A198" s="18">
        <v>197</v>
      </c>
      <c r="B198" s="7" t="s">
        <v>211</v>
      </c>
      <c r="C198" s="12">
        <v>45335.686805555553</v>
      </c>
      <c r="D198" s="7" t="s">
        <v>12</v>
      </c>
      <c r="E198" s="7">
        <v>1</v>
      </c>
      <c r="F198" s="7" t="s">
        <v>22</v>
      </c>
      <c r="G198" s="19" t="s">
        <v>10</v>
      </c>
      <c r="H198" s="7" t="str" cm="1">
        <f t="array" ref="H198">_xlfn.IFS(Table1[[#This Row],[in_or_out]]="out", "Take_out",Table1[[#This Row],[in_or_out]]="in", "Dine_in", Table1[[#This Row],[in_or_out]]="","Unknown")</f>
        <v>Take_out</v>
      </c>
    </row>
    <row r="199" spans="1:8" ht="15.75">
      <c r="A199" s="18">
        <v>198</v>
      </c>
      <c r="B199" s="7" t="s">
        <v>212</v>
      </c>
      <c r="C199" s="12">
        <v>45335.700694444444</v>
      </c>
      <c r="D199" s="7" t="s">
        <v>50</v>
      </c>
      <c r="E199" s="7">
        <v>1</v>
      </c>
      <c r="F199" s="7" t="s">
        <v>29</v>
      </c>
      <c r="G199" s="19" t="s">
        <v>14</v>
      </c>
      <c r="H199" s="7" t="str" cm="1">
        <f t="array" ref="H199">_xlfn.IFS(Table1[[#This Row],[in_or_out]]="out", "Take_out",Table1[[#This Row],[in_or_out]]="in", "Dine_in", Table1[[#This Row],[in_or_out]]="","Unknown")</f>
        <v>Dine_in</v>
      </c>
    </row>
    <row r="200" spans="1:8" ht="15.75">
      <c r="A200" s="18">
        <v>199</v>
      </c>
      <c r="B200" s="7" t="s">
        <v>213</v>
      </c>
      <c r="C200" s="12">
        <v>45335.708333333336</v>
      </c>
      <c r="D200" s="7" t="s">
        <v>45</v>
      </c>
      <c r="E200" s="7">
        <v>1</v>
      </c>
      <c r="F200" s="7" t="s">
        <v>33</v>
      </c>
      <c r="G200" s="19" t="s">
        <v>10</v>
      </c>
      <c r="H200" s="7" t="str" cm="1">
        <f t="array" ref="H200">_xlfn.IFS(Table1[[#This Row],[in_or_out]]="out", "Take_out",Table1[[#This Row],[in_or_out]]="in", "Dine_in", Table1[[#This Row],[in_or_out]]="","Unknown")</f>
        <v>Take_out</v>
      </c>
    </row>
    <row r="201" spans="1:8" ht="15.75">
      <c r="A201" s="18">
        <v>200</v>
      </c>
      <c r="B201" s="7" t="s">
        <v>214</v>
      </c>
      <c r="C201" s="12">
        <v>45336.29583333333</v>
      </c>
      <c r="D201" s="7" t="s">
        <v>24</v>
      </c>
      <c r="E201" s="7">
        <v>1</v>
      </c>
      <c r="F201" s="7" t="s">
        <v>215</v>
      </c>
      <c r="G201" s="19" t="s">
        <v>10</v>
      </c>
      <c r="H201" s="7" t="str" cm="1">
        <f t="array" ref="H201">_xlfn.IFS(Table1[[#This Row],[in_or_out]]="out", "Take_out",Table1[[#This Row],[in_or_out]]="in", "Dine_in", Table1[[#This Row],[in_or_out]]="","Unknown")</f>
        <v>Take_out</v>
      </c>
    </row>
    <row r="202" spans="1:8" ht="15.75">
      <c r="A202" s="18">
        <v>201</v>
      </c>
      <c r="B202" s="7" t="s">
        <v>216</v>
      </c>
      <c r="C202" s="12">
        <v>45336.300694444442</v>
      </c>
      <c r="D202" s="7" t="s">
        <v>12</v>
      </c>
      <c r="E202" s="7">
        <v>1</v>
      </c>
      <c r="F202" s="7" t="s">
        <v>13</v>
      </c>
      <c r="G202" s="19" t="s">
        <v>14</v>
      </c>
      <c r="H202" s="7" t="str" cm="1">
        <f t="array" ref="H202">_xlfn.IFS(Table1[[#This Row],[in_or_out]]="out", "Take_out",Table1[[#This Row],[in_or_out]]="in", "Dine_in", Table1[[#This Row],[in_or_out]]="","Unknown")</f>
        <v>Dine_in</v>
      </c>
    </row>
    <row r="203" spans="1:8" ht="15.75">
      <c r="A203" s="18">
        <v>202</v>
      </c>
      <c r="B203" s="7" t="s">
        <v>217</v>
      </c>
      <c r="C203" s="12">
        <v>45336.305555555555</v>
      </c>
      <c r="D203" s="7" t="s">
        <v>160</v>
      </c>
      <c r="E203" s="7">
        <v>1</v>
      </c>
      <c r="F203" s="7" t="s">
        <v>141</v>
      </c>
      <c r="G203" s="19" t="s">
        <v>10</v>
      </c>
      <c r="H203" s="7" t="str" cm="1">
        <f t="array" ref="H203">_xlfn.IFS(Table1[[#This Row],[in_or_out]]="out", "Take_out",Table1[[#This Row],[in_or_out]]="in", "Dine_in", Table1[[#This Row],[in_or_out]]="","Unknown")</f>
        <v>Take_out</v>
      </c>
    </row>
    <row r="204" spans="1:8" ht="15.75">
      <c r="A204" s="18">
        <v>203</v>
      </c>
      <c r="B204" s="7" t="s">
        <v>218</v>
      </c>
      <c r="C204" s="12">
        <v>45336.310416666667</v>
      </c>
      <c r="D204" s="7" t="s">
        <v>8</v>
      </c>
      <c r="E204" s="7">
        <v>1</v>
      </c>
      <c r="F204" s="7" t="s">
        <v>9</v>
      </c>
      <c r="G204" s="19" t="s">
        <v>14</v>
      </c>
      <c r="H204" s="7" t="str" cm="1">
        <f t="array" ref="H204">_xlfn.IFS(Table1[[#This Row],[in_or_out]]="out", "Take_out",Table1[[#This Row],[in_or_out]]="in", "Dine_in", Table1[[#This Row],[in_or_out]]="","Unknown")</f>
        <v>Dine_in</v>
      </c>
    </row>
    <row r="205" spans="1:8" ht="15.75">
      <c r="A205" s="18">
        <v>204</v>
      </c>
      <c r="B205" s="7" t="s">
        <v>218</v>
      </c>
      <c r="C205" s="12">
        <v>45336.310416666667</v>
      </c>
      <c r="D205" s="7" t="s">
        <v>54</v>
      </c>
      <c r="E205" s="7">
        <v>1</v>
      </c>
      <c r="F205" s="7" t="s">
        <v>9</v>
      </c>
      <c r="G205" s="19" t="s">
        <v>789</v>
      </c>
      <c r="H205" s="7" t="str" cm="1">
        <f t="array" ref="H205">_xlfn.IFS(Table1[[#This Row],[in_or_out]]="out", "Take_out",Table1[[#This Row],[in_or_out]]="in", "Dine_in", Table1[[#This Row],[in_or_out]]="","Unknown")</f>
        <v>Unknown</v>
      </c>
    </row>
    <row r="206" spans="1:8" ht="15.75">
      <c r="A206" s="18">
        <v>205</v>
      </c>
      <c r="B206" s="7" t="s">
        <v>219</v>
      </c>
      <c r="C206" s="12">
        <v>45336.31527777778</v>
      </c>
      <c r="D206" s="7" t="s">
        <v>67</v>
      </c>
      <c r="E206" s="7">
        <v>1</v>
      </c>
      <c r="F206" s="7" t="s">
        <v>25</v>
      </c>
      <c r="G206" s="19" t="s">
        <v>10</v>
      </c>
      <c r="H206" s="7" t="str" cm="1">
        <f t="array" ref="H206">_xlfn.IFS(Table1[[#This Row],[in_or_out]]="out", "Take_out",Table1[[#This Row],[in_or_out]]="in", "Dine_in", Table1[[#This Row],[in_or_out]]="","Unknown")</f>
        <v>Take_out</v>
      </c>
    </row>
    <row r="207" spans="1:8" ht="15.75">
      <c r="A207" s="18">
        <v>206</v>
      </c>
      <c r="B207" s="7" t="s">
        <v>220</v>
      </c>
      <c r="C207" s="12">
        <v>45336.320138888892</v>
      </c>
      <c r="D207" s="7" t="s">
        <v>28</v>
      </c>
      <c r="E207" s="7">
        <v>1</v>
      </c>
      <c r="F207" s="7" t="s">
        <v>16</v>
      </c>
      <c r="G207" s="19" t="s">
        <v>14</v>
      </c>
      <c r="H207" s="7" t="str" cm="1">
        <f t="array" ref="H207">_xlfn.IFS(Table1[[#This Row],[in_or_out]]="out", "Take_out",Table1[[#This Row],[in_or_out]]="in", "Dine_in", Table1[[#This Row],[in_or_out]]="","Unknown")</f>
        <v>Dine_in</v>
      </c>
    </row>
    <row r="208" spans="1:8" ht="15.75">
      <c r="A208" s="18">
        <v>207</v>
      </c>
      <c r="B208" s="7" t="s">
        <v>221</v>
      </c>
      <c r="C208" s="12">
        <v>45336.325694444444</v>
      </c>
      <c r="D208" s="7" t="s">
        <v>36</v>
      </c>
      <c r="E208" s="7">
        <v>1</v>
      </c>
      <c r="F208" s="7" t="s">
        <v>19</v>
      </c>
      <c r="G208" s="19" t="s">
        <v>10</v>
      </c>
      <c r="H208" s="7" t="str" cm="1">
        <f t="array" ref="H208">_xlfn.IFS(Table1[[#This Row],[in_or_out]]="out", "Take_out",Table1[[#This Row],[in_or_out]]="in", "Dine_in", Table1[[#This Row],[in_or_out]]="","Unknown")</f>
        <v>Take_out</v>
      </c>
    </row>
    <row r="209" spans="1:8" ht="15.75">
      <c r="A209" s="18">
        <v>208</v>
      </c>
      <c r="B209" s="7" t="s">
        <v>222</v>
      </c>
      <c r="C209" s="12">
        <v>45336.330555555556</v>
      </c>
      <c r="D209" s="7" t="s">
        <v>38</v>
      </c>
      <c r="E209" s="7">
        <v>1</v>
      </c>
      <c r="F209" s="7" t="s">
        <v>22</v>
      </c>
      <c r="G209" s="19" t="s">
        <v>14</v>
      </c>
      <c r="H209" s="7" t="str" cm="1">
        <f t="array" ref="H209">_xlfn.IFS(Table1[[#This Row],[in_or_out]]="out", "Take_out",Table1[[#This Row],[in_or_out]]="in", "Dine_in", Table1[[#This Row],[in_or_out]]="","Unknown")</f>
        <v>Dine_in</v>
      </c>
    </row>
    <row r="210" spans="1:8" ht="15.75">
      <c r="A210" s="18">
        <v>209</v>
      </c>
      <c r="B210" s="7" t="s">
        <v>223</v>
      </c>
      <c r="C210" s="12">
        <v>45336.335416666669</v>
      </c>
      <c r="D210" s="7" t="s">
        <v>18</v>
      </c>
      <c r="E210" s="7">
        <v>1</v>
      </c>
      <c r="F210" s="7" t="s">
        <v>29</v>
      </c>
      <c r="G210" s="19" t="s">
        <v>10</v>
      </c>
      <c r="H210" s="7" t="str" cm="1">
        <f t="array" ref="H210">_xlfn.IFS(Table1[[#This Row],[in_or_out]]="out", "Take_out",Table1[[#This Row],[in_or_out]]="in", "Dine_in", Table1[[#This Row],[in_or_out]]="","Unknown")</f>
        <v>Take_out</v>
      </c>
    </row>
    <row r="211" spans="1:8" ht="15.75">
      <c r="A211" s="18">
        <v>210</v>
      </c>
      <c r="B211" s="7" t="s">
        <v>224</v>
      </c>
      <c r="C211" s="12">
        <v>45336.340277777781</v>
      </c>
      <c r="D211" s="7" t="s">
        <v>42</v>
      </c>
      <c r="E211" s="7">
        <v>1</v>
      </c>
      <c r="F211" s="7" t="s">
        <v>33</v>
      </c>
      <c r="G211" s="19" t="s">
        <v>14</v>
      </c>
      <c r="H211" s="7" t="str" cm="1">
        <f t="array" ref="H211">_xlfn.IFS(Table1[[#This Row],[in_or_out]]="out", "Take_out",Table1[[#This Row],[in_or_out]]="in", "Dine_in", Table1[[#This Row],[in_or_out]]="","Unknown")</f>
        <v>Dine_in</v>
      </c>
    </row>
    <row r="212" spans="1:8" ht="15.75">
      <c r="A212" s="18">
        <v>211</v>
      </c>
      <c r="B212" s="7" t="s">
        <v>225</v>
      </c>
      <c r="C212" s="12">
        <v>45336.345138888886</v>
      </c>
      <c r="D212" s="7" t="s">
        <v>153</v>
      </c>
      <c r="E212" s="7">
        <v>1</v>
      </c>
      <c r="F212" s="7" t="s">
        <v>37</v>
      </c>
      <c r="G212" s="19" t="s">
        <v>10</v>
      </c>
      <c r="H212" s="7" t="str" cm="1">
        <f t="array" ref="H212">_xlfn.IFS(Table1[[#This Row],[in_or_out]]="out", "Take_out",Table1[[#This Row],[in_or_out]]="in", "Dine_in", Table1[[#This Row],[in_or_out]]="","Unknown")</f>
        <v>Take_out</v>
      </c>
    </row>
    <row r="213" spans="1:8" ht="15.75">
      <c r="A213" s="18">
        <v>212</v>
      </c>
      <c r="B213" s="7" t="s">
        <v>226</v>
      </c>
      <c r="C213" s="12">
        <v>45336.35</v>
      </c>
      <c r="D213" s="7" t="s">
        <v>32</v>
      </c>
      <c r="E213" s="7">
        <v>1</v>
      </c>
      <c r="F213" s="7" t="s">
        <v>40</v>
      </c>
      <c r="G213" s="19" t="s">
        <v>14</v>
      </c>
      <c r="H213" s="7" t="str" cm="1">
        <f t="array" ref="H213">_xlfn.IFS(Table1[[#This Row],[in_or_out]]="out", "Take_out",Table1[[#This Row],[in_or_out]]="in", "Dine_in", Table1[[#This Row],[in_or_out]]="","Unknown")</f>
        <v>Dine_in</v>
      </c>
    </row>
    <row r="214" spans="1:8" ht="15.75">
      <c r="A214" s="18">
        <v>213</v>
      </c>
      <c r="B214" s="7" t="s">
        <v>227</v>
      </c>
      <c r="C214" s="12">
        <v>45336.354861111111</v>
      </c>
      <c r="D214" s="7" t="s">
        <v>30</v>
      </c>
      <c r="E214" s="7">
        <v>1</v>
      </c>
      <c r="F214" s="7" t="s">
        <v>43</v>
      </c>
      <c r="G214" s="19" t="s">
        <v>10</v>
      </c>
      <c r="H214" s="7" t="str" cm="1">
        <f t="array" ref="H214">_xlfn.IFS(Table1[[#This Row],[in_or_out]]="out", "Take_out",Table1[[#This Row],[in_or_out]]="in", "Dine_in", Table1[[#This Row],[in_or_out]]="","Unknown")</f>
        <v>Take_out</v>
      </c>
    </row>
    <row r="215" spans="1:8" ht="15.75">
      <c r="A215" s="18">
        <v>214</v>
      </c>
      <c r="B215" s="7" t="s">
        <v>228</v>
      </c>
      <c r="C215" s="12">
        <v>45336.359722222223</v>
      </c>
      <c r="D215" s="7" t="s">
        <v>123</v>
      </c>
      <c r="E215" s="7">
        <v>1</v>
      </c>
      <c r="F215" s="7" t="s">
        <v>137</v>
      </c>
      <c r="G215" s="19" t="s">
        <v>14</v>
      </c>
      <c r="H215" s="7" t="str" cm="1">
        <f t="array" ref="H215">_xlfn.IFS(Table1[[#This Row],[in_or_out]]="out", "Take_out",Table1[[#This Row],[in_or_out]]="in", "Dine_in", Table1[[#This Row],[in_or_out]]="","Unknown")</f>
        <v>Dine_in</v>
      </c>
    </row>
    <row r="216" spans="1:8" ht="15.75">
      <c r="A216" s="18">
        <v>215</v>
      </c>
      <c r="B216" s="7" t="s">
        <v>229</v>
      </c>
      <c r="C216" s="12">
        <v>45336.364583333336</v>
      </c>
      <c r="D216" s="7" t="s">
        <v>166</v>
      </c>
      <c r="E216" s="7">
        <v>1</v>
      </c>
      <c r="F216" s="7" t="s">
        <v>144</v>
      </c>
      <c r="G216" s="19" t="s">
        <v>10</v>
      </c>
      <c r="H216" s="7" t="str" cm="1">
        <f t="array" ref="H216">_xlfn.IFS(Table1[[#This Row],[in_or_out]]="out", "Take_out",Table1[[#This Row],[in_or_out]]="in", "Dine_in", Table1[[#This Row],[in_or_out]]="","Unknown")</f>
        <v>Take_out</v>
      </c>
    </row>
    <row r="217" spans="1:8" ht="15.75">
      <c r="A217" s="18">
        <v>216</v>
      </c>
      <c r="B217" s="7" t="s">
        <v>229</v>
      </c>
      <c r="C217" s="12">
        <v>45336.364583333336</v>
      </c>
      <c r="D217" s="7" t="s">
        <v>45</v>
      </c>
      <c r="E217" s="7">
        <v>1</v>
      </c>
      <c r="F217" s="7" t="s">
        <v>144</v>
      </c>
      <c r="G217" s="19" t="s">
        <v>789</v>
      </c>
      <c r="H217" s="7" t="str" cm="1">
        <f t="array" ref="H217">_xlfn.IFS(Table1[[#This Row],[in_or_out]]="out", "Take_out",Table1[[#This Row],[in_or_out]]="in", "Dine_in", Table1[[#This Row],[in_or_out]]="","Unknown")</f>
        <v>Unknown</v>
      </c>
    </row>
    <row r="218" spans="1:8" ht="15.75">
      <c r="A218" s="18">
        <v>217</v>
      </c>
      <c r="B218" s="7" t="s">
        <v>230</v>
      </c>
      <c r="C218" s="12">
        <v>45336.370138888888</v>
      </c>
      <c r="D218" s="7" t="s">
        <v>110</v>
      </c>
      <c r="E218" s="7">
        <v>1</v>
      </c>
      <c r="F218" s="7" t="s">
        <v>9</v>
      </c>
      <c r="G218" s="19" t="s">
        <v>14</v>
      </c>
      <c r="H218" s="7" t="str" cm="1">
        <f t="array" ref="H218">_xlfn.IFS(Table1[[#This Row],[in_or_out]]="out", "Take_out",Table1[[#This Row],[in_or_out]]="in", "Dine_in", Table1[[#This Row],[in_or_out]]="","Unknown")</f>
        <v>Dine_in</v>
      </c>
    </row>
    <row r="219" spans="1:8" ht="15.75">
      <c r="A219" s="18">
        <v>218</v>
      </c>
      <c r="B219" s="7" t="s">
        <v>231</v>
      </c>
      <c r="C219" s="12">
        <v>45336.375</v>
      </c>
      <c r="D219" s="7" t="s">
        <v>142</v>
      </c>
      <c r="E219" s="7">
        <v>1</v>
      </c>
      <c r="F219" s="7" t="s">
        <v>13</v>
      </c>
      <c r="G219" s="19" t="s">
        <v>10</v>
      </c>
      <c r="H219" s="7" t="str" cm="1">
        <f t="array" ref="H219">_xlfn.IFS(Table1[[#This Row],[in_or_out]]="out", "Take_out",Table1[[#This Row],[in_or_out]]="in", "Dine_in", Table1[[#This Row],[in_or_out]]="","Unknown")</f>
        <v>Take_out</v>
      </c>
    </row>
    <row r="220" spans="1:8" ht="15.75">
      <c r="A220" s="18">
        <v>219</v>
      </c>
      <c r="B220" s="7" t="s">
        <v>232</v>
      </c>
      <c r="C220" s="12">
        <v>45336.379861111112</v>
      </c>
      <c r="D220" s="7" t="s">
        <v>56</v>
      </c>
      <c r="E220" s="7">
        <v>1</v>
      </c>
      <c r="F220" s="7" t="s">
        <v>141</v>
      </c>
      <c r="G220" s="19" t="s">
        <v>14</v>
      </c>
      <c r="H220" s="7" t="str" cm="1">
        <f t="array" ref="H220">_xlfn.IFS(Table1[[#This Row],[in_or_out]]="out", "Take_out",Table1[[#This Row],[in_or_out]]="in", "Dine_in", Table1[[#This Row],[in_or_out]]="","Unknown")</f>
        <v>Dine_in</v>
      </c>
    </row>
    <row r="221" spans="1:8" ht="15.75">
      <c r="A221" s="18">
        <v>220</v>
      </c>
      <c r="B221" s="7" t="s">
        <v>233</v>
      </c>
      <c r="C221" s="12">
        <v>45336.384722222225</v>
      </c>
      <c r="D221" s="7" t="s">
        <v>26</v>
      </c>
      <c r="E221" s="7">
        <v>1</v>
      </c>
      <c r="F221" s="7" t="s">
        <v>25</v>
      </c>
      <c r="G221" s="19" t="s">
        <v>10</v>
      </c>
      <c r="H221" s="7" t="str" cm="1">
        <f t="array" ref="H221">_xlfn.IFS(Table1[[#This Row],[in_or_out]]="out", "Take_out",Table1[[#This Row],[in_or_out]]="in", "Dine_in", Table1[[#This Row],[in_or_out]]="","Unknown")</f>
        <v>Take_out</v>
      </c>
    </row>
    <row r="222" spans="1:8" ht="15.75">
      <c r="A222" s="18">
        <v>221</v>
      </c>
      <c r="B222" s="7" t="s">
        <v>234</v>
      </c>
      <c r="C222" s="12">
        <v>45336.38958333333</v>
      </c>
      <c r="D222" s="7" t="s">
        <v>21</v>
      </c>
      <c r="E222" s="7">
        <v>1</v>
      </c>
      <c r="F222" s="7" t="s">
        <v>16</v>
      </c>
      <c r="G222" s="19" t="s">
        <v>14</v>
      </c>
      <c r="H222" s="7" t="str" cm="1">
        <f t="array" ref="H222">_xlfn.IFS(Table1[[#This Row],[in_or_out]]="out", "Take_out",Table1[[#This Row],[in_or_out]]="in", "Dine_in", Table1[[#This Row],[in_or_out]]="","Unknown")</f>
        <v>Dine_in</v>
      </c>
    </row>
    <row r="223" spans="1:8" ht="15.75">
      <c r="A223" s="18">
        <v>222</v>
      </c>
      <c r="B223" s="7" t="s">
        <v>235</v>
      </c>
      <c r="C223" s="12">
        <v>45336.394444444442</v>
      </c>
      <c r="D223" s="7" t="s">
        <v>52</v>
      </c>
      <c r="E223" s="7">
        <v>1</v>
      </c>
      <c r="F223" s="7" t="s">
        <v>19</v>
      </c>
      <c r="G223" s="19" t="s">
        <v>10</v>
      </c>
      <c r="H223" s="7" t="str" cm="1">
        <f t="array" ref="H223">_xlfn.IFS(Table1[[#This Row],[in_or_out]]="out", "Take_out",Table1[[#This Row],[in_or_out]]="in", "Dine_in", Table1[[#This Row],[in_or_out]]="","Unknown")</f>
        <v>Take_out</v>
      </c>
    </row>
    <row r="224" spans="1:8" ht="15.75">
      <c r="A224" s="18">
        <v>223</v>
      </c>
      <c r="B224" s="7" t="s">
        <v>236</v>
      </c>
      <c r="C224" s="12">
        <v>45336.399305555555</v>
      </c>
      <c r="D224" s="7" t="s">
        <v>48</v>
      </c>
      <c r="E224" s="7">
        <v>1</v>
      </c>
      <c r="F224" s="7" t="s">
        <v>22</v>
      </c>
      <c r="G224" s="19" t="s">
        <v>14</v>
      </c>
      <c r="H224" s="7" t="str" cm="1">
        <f t="array" ref="H224">_xlfn.IFS(Table1[[#This Row],[in_or_out]]="out", "Take_out",Table1[[#This Row],[in_or_out]]="in", "Dine_in", Table1[[#This Row],[in_or_out]]="","Unknown")</f>
        <v>Dine_in</v>
      </c>
    </row>
    <row r="225" spans="1:8" ht="15.75">
      <c r="A225" s="18">
        <v>224</v>
      </c>
      <c r="B225" s="7" t="s">
        <v>237</v>
      </c>
      <c r="C225" s="12">
        <v>45336.404166666667</v>
      </c>
      <c r="D225" s="7" t="s">
        <v>59</v>
      </c>
      <c r="E225" s="7">
        <v>1</v>
      </c>
      <c r="F225" s="7" t="s">
        <v>29</v>
      </c>
      <c r="G225" s="19" t="s">
        <v>10</v>
      </c>
      <c r="H225" s="7" t="str" cm="1">
        <f t="array" ref="H225">_xlfn.IFS(Table1[[#This Row],[in_or_out]]="out", "Take_out",Table1[[#This Row],[in_or_out]]="in", "Dine_in", Table1[[#This Row],[in_or_out]]="","Unknown")</f>
        <v>Take_out</v>
      </c>
    </row>
    <row r="226" spans="1:8" ht="15.75">
      <c r="A226" s="18">
        <v>225</v>
      </c>
      <c r="B226" s="7" t="s">
        <v>238</v>
      </c>
      <c r="C226" s="12">
        <v>45336.40902777778</v>
      </c>
      <c r="D226" s="7" t="s">
        <v>34</v>
      </c>
      <c r="E226" s="7">
        <v>1</v>
      </c>
      <c r="F226" s="7" t="s">
        <v>33</v>
      </c>
      <c r="G226" s="19" t="s">
        <v>14</v>
      </c>
      <c r="H226" s="7" t="str" cm="1">
        <f t="array" ref="H226">_xlfn.IFS(Table1[[#This Row],[in_or_out]]="out", "Take_out",Table1[[#This Row],[in_or_out]]="in", "Dine_in", Table1[[#This Row],[in_or_out]]="","Unknown")</f>
        <v>Dine_in</v>
      </c>
    </row>
    <row r="227" spans="1:8" ht="15.75">
      <c r="A227" s="18">
        <v>226</v>
      </c>
      <c r="B227" s="7" t="s">
        <v>239</v>
      </c>
      <c r="C227" s="12">
        <v>45336.414583333331</v>
      </c>
      <c r="D227" s="7" t="s">
        <v>50</v>
      </c>
      <c r="E227" s="7">
        <v>1</v>
      </c>
      <c r="F227" s="7" t="s">
        <v>37</v>
      </c>
      <c r="G227" s="19" t="s">
        <v>10</v>
      </c>
      <c r="H227" s="7" t="str" cm="1">
        <f t="array" ref="H227">_xlfn.IFS(Table1[[#This Row],[in_or_out]]="out", "Take_out",Table1[[#This Row],[in_or_out]]="in", "Dine_in", Table1[[#This Row],[in_or_out]]="","Unknown")</f>
        <v>Take_out</v>
      </c>
    </row>
    <row r="228" spans="1:8" ht="15.75">
      <c r="A228" s="18">
        <v>227</v>
      </c>
      <c r="B228" s="7" t="s">
        <v>240</v>
      </c>
      <c r="C228" s="12">
        <v>45336.419444444444</v>
      </c>
      <c r="D228" s="7" t="s">
        <v>89</v>
      </c>
      <c r="E228" s="7">
        <v>1</v>
      </c>
      <c r="F228" s="7" t="s">
        <v>43</v>
      </c>
      <c r="G228" s="19" t="s">
        <v>14</v>
      </c>
      <c r="H228" s="7" t="str" cm="1">
        <f t="array" ref="H228">_xlfn.IFS(Table1[[#This Row],[in_or_out]]="out", "Take_out",Table1[[#This Row],[in_or_out]]="in", "Dine_in", Table1[[#This Row],[in_or_out]]="","Unknown")</f>
        <v>Dine_in</v>
      </c>
    </row>
    <row r="229" spans="1:8" ht="15.75">
      <c r="A229" s="18">
        <v>228</v>
      </c>
      <c r="B229" s="7" t="s">
        <v>241</v>
      </c>
      <c r="C229" s="12">
        <v>45336.431250000001</v>
      </c>
      <c r="D229" s="7" t="s">
        <v>45</v>
      </c>
      <c r="E229" s="7">
        <v>1</v>
      </c>
      <c r="F229" s="7" t="s">
        <v>137</v>
      </c>
      <c r="G229" s="19" t="s">
        <v>10</v>
      </c>
      <c r="H229" s="7" t="str" cm="1">
        <f t="array" ref="H229">_xlfn.IFS(Table1[[#This Row],[in_or_out]]="out", "Take_out",Table1[[#This Row],[in_or_out]]="in", "Dine_in", Table1[[#This Row],[in_or_out]]="","Unknown")</f>
        <v>Take_out</v>
      </c>
    </row>
    <row r="230" spans="1:8" ht="15.75">
      <c r="A230" s="18">
        <v>229</v>
      </c>
      <c r="B230" s="7" t="s">
        <v>242</v>
      </c>
      <c r="C230" s="12">
        <v>45336.443055555559</v>
      </c>
      <c r="D230" s="7" t="s">
        <v>142</v>
      </c>
      <c r="E230" s="7">
        <v>1</v>
      </c>
      <c r="F230" s="7" t="s">
        <v>144</v>
      </c>
      <c r="G230" s="19" t="s">
        <v>14</v>
      </c>
      <c r="H230" s="7" t="str" cm="1">
        <f t="array" ref="H230">_xlfn.IFS(Table1[[#This Row],[in_or_out]]="out", "Take_out",Table1[[#This Row],[in_or_out]]="in", "Dine_in", Table1[[#This Row],[in_or_out]]="","Unknown")</f>
        <v>Dine_in</v>
      </c>
    </row>
    <row r="231" spans="1:8" ht="15.75">
      <c r="A231" s="18">
        <v>230</v>
      </c>
      <c r="B231" s="7" t="s">
        <v>243</v>
      </c>
      <c r="C231" s="12">
        <v>45336.454861111109</v>
      </c>
      <c r="D231" s="7" t="s">
        <v>24</v>
      </c>
      <c r="E231" s="7">
        <v>1</v>
      </c>
      <c r="F231" s="7" t="s">
        <v>9</v>
      </c>
      <c r="G231" s="19" t="s">
        <v>10</v>
      </c>
      <c r="H231" s="7" t="str" cm="1">
        <f t="array" ref="H231">_xlfn.IFS(Table1[[#This Row],[in_or_out]]="out", "Take_out",Table1[[#This Row],[in_or_out]]="in", "Dine_in", Table1[[#This Row],[in_or_out]]="","Unknown")</f>
        <v>Take_out</v>
      </c>
    </row>
    <row r="232" spans="1:8" ht="15.75">
      <c r="A232" s="18">
        <v>231</v>
      </c>
      <c r="B232" s="7" t="s">
        <v>244</v>
      </c>
      <c r="C232" s="12">
        <v>45336.466666666667</v>
      </c>
      <c r="D232" s="7" t="s">
        <v>21</v>
      </c>
      <c r="E232" s="7">
        <v>1</v>
      </c>
      <c r="F232" s="7" t="s">
        <v>13</v>
      </c>
      <c r="G232" s="19" t="s">
        <v>14</v>
      </c>
      <c r="H232" s="7" t="str" cm="1">
        <f t="array" ref="H232">_xlfn.IFS(Table1[[#This Row],[in_or_out]]="out", "Take_out",Table1[[#This Row],[in_or_out]]="in", "Dine_in", Table1[[#This Row],[in_or_out]]="","Unknown")</f>
        <v>Dine_in</v>
      </c>
    </row>
    <row r="233" spans="1:8" ht="15.75">
      <c r="A233" s="18">
        <v>232</v>
      </c>
      <c r="B233" s="7" t="s">
        <v>245</v>
      </c>
      <c r="C233" s="12">
        <v>45336.478472222225</v>
      </c>
      <c r="D233" s="7" t="s">
        <v>34</v>
      </c>
      <c r="E233" s="7">
        <v>1</v>
      </c>
      <c r="F233" s="7" t="s">
        <v>141</v>
      </c>
      <c r="G233" s="19" t="s">
        <v>10</v>
      </c>
      <c r="H233" s="7" t="str" cm="1">
        <f t="array" ref="H233">_xlfn.IFS(Table1[[#This Row],[in_or_out]]="out", "Take_out",Table1[[#This Row],[in_or_out]]="in", "Dine_in", Table1[[#This Row],[in_or_out]]="","Unknown")</f>
        <v>Take_out</v>
      </c>
    </row>
    <row r="234" spans="1:8" ht="15.75">
      <c r="A234" s="18">
        <v>233</v>
      </c>
      <c r="B234" s="7" t="s">
        <v>245</v>
      </c>
      <c r="C234" s="12">
        <v>45336.478472222225</v>
      </c>
      <c r="D234" s="7" t="s">
        <v>54</v>
      </c>
      <c r="E234" s="7">
        <v>1</v>
      </c>
      <c r="F234" s="7" t="s">
        <v>141</v>
      </c>
      <c r="G234" s="19" t="s">
        <v>789</v>
      </c>
      <c r="H234" s="7" t="str" cm="1">
        <f t="array" ref="H234">_xlfn.IFS(Table1[[#This Row],[in_or_out]]="out", "Take_out",Table1[[#This Row],[in_or_out]]="in", "Dine_in", Table1[[#This Row],[in_or_out]]="","Unknown")</f>
        <v>Unknown</v>
      </c>
    </row>
    <row r="235" spans="1:8" ht="15.75">
      <c r="A235" s="18">
        <v>234</v>
      </c>
      <c r="B235" s="7" t="s">
        <v>246</v>
      </c>
      <c r="C235" s="12">
        <v>45336.490277777775</v>
      </c>
      <c r="D235" s="7" t="s">
        <v>52</v>
      </c>
      <c r="E235" s="7">
        <v>1</v>
      </c>
      <c r="F235" s="7" t="s">
        <v>25</v>
      </c>
      <c r="G235" s="19" t="s">
        <v>14</v>
      </c>
      <c r="H235" s="7" t="str" cm="1">
        <f t="array" ref="H235">_xlfn.IFS(Table1[[#This Row],[in_or_out]]="out", "Take_out",Table1[[#This Row],[in_or_out]]="in", "Dine_in", Table1[[#This Row],[in_or_out]]="","Unknown")</f>
        <v>Dine_in</v>
      </c>
    </row>
    <row r="236" spans="1:8" ht="15.75">
      <c r="A236" s="18">
        <v>235</v>
      </c>
      <c r="B236" s="7" t="s">
        <v>247</v>
      </c>
      <c r="C236" s="12">
        <v>45336.502083333333</v>
      </c>
      <c r="D236" s="7" t="s">
        <v>42</v>
      </c>
      <c r="E236" s="7">
        <v>1</v>
      </c>
      <c r="F236" s="7" t="s">
        <v>16</v>
      </c>
      <c r="G236" s="19" t="s">
        <v>10</v>
      </c>
      <c r="H236" s="7" t="str" cm="1">
        <f t="array" ref="H236">_xlfn.IFS(Table1[[#This Row],[in_or_out]]="out", "Take_out",Table1[[#This Row],[in_or_out]]="in", "Dine_in", Table1[[#This Row],[in_or_out]]="","Unknown")</f>
        <v>Take_out</v>
      </c>
    </row>
    <row r="237" spans="1:8" ht="15.75">
      <c r="A237" s="18">
        <v>236</v>
      </c>
      <c r="B237" s="7" t="s">
        <v>248</v>
      </c>
      <c r="C237" s="12">
        <v>45336.506944444445</v>
      </c>
      <c r="D237" s="7" t="s">
        <v>26</v>
      </c>
      <c r="E237" s="7">
        <v>1</v>
      </c>
      <c r="F237" s="7" t="s">
        <v>19</v>
      </c>
      <c r="G237" s="19" t="s">
        <v>14</v>
      </c>
      <c r="H237" s="7" t="str" cm="1">
        <f t="array" ref="H237">_xlfn.IFS(Table1[[#This Row],[in_or_out]]="out", "Take_out",Table1[[#This Row],[in_or_out]]="in", "Dine_in", Table1[[#This Row],[in_or_out]]="","Unknown")</f>
        <v>Dine_in</v>
      </c>
    </row>
    <row r="238" spans="1:8" ht="15.75">
      <c r="A238" s="18">
        <v>237</v>
      </c>
      <c r="B238" s="7" t="s">
        <v>249</v>
      </c>
      <c r="C238" s="12">
        <v>45336.511805555558</v>
      </c>
      <c r="D238" s="7" t="s">
        <v>48</v>
      </c>
      <c r="E238" s="7">
        <v>1</v>
      </c>
      <c r="F238" s="7" t="s">
        <v>22</v>
      </c>
      <c r="G238" s="19" t="s">
        <v>10</v>
      </c>
      <c r="H238" s="7" t="str" cm="1">
        <f t="array" ref="H238">_xlfn.IFS(Table1[[#This Row],[in_or_out]]="out", "Take_out",Table1[[#This Row],[in_or_out]]="in", "Dine_in", Table1[[#This Row],[in_or_out]]="","Unknown")</f>
        <v>Take_out</v>
      </c>
    </row>
    <row r="239" spans="1:8" ht="15.75">
      <c r="A239" s="18">
        <v>238</v>
      </c>
      <c r="B239" s="7" t="s">
        <v>250</v>
      </c>
      <c r="C239" s="12">
        <v>45336.51666666667</v>
      </c>
      <c r="D239" s="7" t="s">
        <v>153</v>
      </c>
      <c r="E239" s="7">
        <v>1</v>
      </c>
      <c r="F239" s="7" t="s">
        <v>29</v>
      </c>
      <c r="G239" s="19" t="s">
        <v>14</v>
      </c>
      <c r="H239" s="7" t="str" cm="1">
        <f t="array" ref="H239">_xlfn.IFS(Table1[[#This Row],[in_or_out]]="out", "Take_out",Table1[[#This Row],[in_or_out]]="in", "Dine_in", Table1[[#This Row],[in_or_out]]="","Unknown")</f>
        <v>Dine_in</v>
      </c>
    </row>
    <row r="240" spans="1:8" ht="15.75">
      <c r="A240" s="18">
        <v>239</v>
      </c>
      <c r="B240" s="7" t="s">
        <v>251</v>
      </c>
      <c r="C240" s="12">
        <v>45336.521527777775</v>
      </c>
      <c r="D240" s="7" t="s">
        <v>28</v>
      </c>
      <c r="E240" s="7">
        <v>1</v>
      </c>
      <c r="F240" s="7" t="s">
        <v>33</v>
      </c>
      <c r="G240" s="19" t="s">
        <v>10</v>
      </c>
      <c r="H240" s="7" t="str" cm="1">
        <f t="array" ref="H240">_xlfn.IFS(Table1[[#This Row],[in_or_out]]="out", "Take_out",Table1[[#This Row],[in_or_out]]="in", "Dine_in", Table1[[#This Row],[in_or_out]]="","Unknown")</f>
        <v>Take_out</v>
      </c>
    </row>
    <row r="241" spans="1:8" ht="15.75">
      <c r="A241" s="18">
        <v>240</v>
      </c>
      <c r="B241" s="7" t="s">
        <v>251</v>
      </c>
      <c r="C241" s="12">
        <v>45336.521527777775</v>
      </c>
      <c r="D241" s="7" t="s">
        <v>38</v>
      </c>
      <c r="E241" s="7">
        <v>1</v>
      </c>
      <c r="F241" s="7" t="s">
        <v>33</v>
      </c>
      <c r="G241" s="19" t="s">
        <v>789</v>
      </c>
      <c r="H241" s="7" t="str" cm="1">
        <f t="array" ref="H241">_xlfn.IFS(Table1[[#This Row],[in_or_out]]="out", "Take_out",Table1[[#This Row],[in_or_out]]="in", "Dine_in", Table1[[#This Row],[in_or_out]]="","Unknown")</f>
        <v>Unknown</v>
      </c>
    </row>
    <row r="242" spans="1:8" ht="15.75">
      <c r="A242" s="18">
        <v>241</v>
      </c>
      <c r="B242" s="7" t="s">
        <v>252</v>
      </c>
      <c r="C242" s="12">
        <v>45336.526388888888</v>
      </c>
      <c r="D242" s="7" t="s">
        <v>12</v>
      </c>
      <c r="E242" s="7">
        <v>1</v>
      </c>
      <c r="F242" s="7" t="s">
        <v>37</v>
      </c>
      <c r="G242" s="19" t="s">
        <v>14</v>
      </c>
      <c r="H242" s="7" t="str" cm="1">
        <f t="array" ref="H242">_xlfn.IFS(Table1[[#This Row],[in_or_out]]="out", "Take_out",Table1[[#This Row],[in_or_out]]="in", "Dine_in", Table1[[#This Row],[in_or_out]]="","Unknown")</f>
        <v>Dine_in</v>
      </c>
    </row>
    <row r="243" spans="1:8" ht="15.75">
      <c r="A243" s="18">
        <v>242</v>
      </c>
      <c r="B243" s="7" t="s">
        <v>253</v>
      </c>
      <c r="C243" s="12">
        <v>45336.53125</v>
      </c>
      <c r="D243" s="7" t="s">
        <v>30</v>
      </c>
      <c r="E243" s="7">
        <v>1</v>
      </c>
      <c r="F243" s="7" t="s">
        <v>40</v>
      </c>
      <c r="G243" s="19" t="s">
        <v>10</v>
      </c>
      <c r="H243" s="7" t="str" cm="1">
        <f t="array" ref="H243">_xlfn.IFS(Table1[[#This Row],[in_or_out]]="out", "Take_out",Table1[[#This Row],[in_or_out]]="in", "Dine_in", Table1[[#This Row],[in_or_out]]="","Unknown")</f>
        <v>Take_out</v>
      </c>
    </row>
    <row r="244" spans="1:8" ht="15.75">
      <c r="A244" s="18">
        <v>243</v>
      </c>
      <c r="B244" s="7" t="s">
        <v>254</v>
      </c>
      <c r="C244" s="12">
        <v>45336.536111111112</v>
      </c>
      <c r="D244" s="7" t="s">
        <v>32</v>
      </c>
      <c r="E244" s="7">
        <v>1</v>
      </c>
      <c r="F244" s="7" t="s">
        <v>43</v>
      </c>
      <c r="G244" s="19" t="s">
        <v>14</v>
      </c>
      <c r="H244" s="7" t="str" cm="1">
        <f t="array" ref="H244">_xlfn.IFS(Table1[[#This Row],[in_or_out]]="out", "Take_out",Table1[[#This Row],[in_or_out]]="in", "Dine_in", Table1[[#This Row],[in_or_out]]="","Unknown")</f>
        <v>Dine_in</v>
      </c>
    </row>
    <row r="245" spans="1:8" ht="15.75">
      <c r="A245" s="18">
        <v>244</v>
      </c>
      <c r="B245" s="7" t="s">
        <v>255</v>
      </c>
      <c r="C245" s="12">
        <v>45336.541666666664</v>
      </c>
      <c r="D245" s="7" t="s">
        <v>54</v>
      </c>
      <c r="E245" s="7">
        <v>1</v>
      </c>
      <c r="F245" s="7" t="s">
        <v>137</v>
      </c>
      <c r="G245" s="19" t="s">
        <v>10</v>
      </c>
      <c r="H245" s="7" t="str" cm="1">
        <f t="array" ref="H245">_xlfn.IFS(Table1[[#This Row],[in_or_out]]="out", "Take_out",Table1[[#This Row],[in_or_out]]="in", "Dine_in", Table1[[#This Row],[in_or_out]]="","Unknown")</f>
        <v>Take_out</v>
      </c>
    </row>
    <row r="246" spans="1:8" ht="15.75">
      <c r="A246" s="18">
        <v>245</v>
      </c>
      <c r="B246" s="7" t="s">
        <v>256</v>
      </c>
      <c r="C246" s="12">
        <v>45336.547222222223</v>
      </c>
      <c r="D246" s="7" t="s">
        <v>67</v>
      </c>
      <c r="E246" s="7">
        <v>1</v>
      </c>
      <c r="F246" s="7" t="s">
        <v>144</v>
      </c>
      <c r="G246" s="19" t="s">
        <v>14</v>
      </c>
      <c r="H246" s="7" t="str" cm="1">
        <f t="array" ref="H246">_xlfn.IFS(Table1[[#This Row],[in_or_out]]="out", "Take_out",Table1[[#This Row],[in_or_out]]="in", "Dine_in", Table1[[#This Row],[in_or_out]]="","Unknown")</f>
        <v>Dine_in</v>
      </c>
    </row>
    <row r="247" spans="1:8" ht="15.75">
      <c r="A247" s="18">
        <v>246</v>
      </c>
      <c r="B247" s="7" t="s">
        <v>257</v>
      </c>
      <c r="C247" s="12">
        <v>45336.552083333336</v>
      </c>
      <c r="D247" s="7" t="s">
        <v>123</v>
      </c>
      <c r="E247" s="7">
        <v>1</v>
      </c>
      <c r="F247" s="7" t="s">
        <v>9</v>
      </c>
      <c r="G247" s="19" t="s">
        <v>10</v>
      </c>
      <c r="H247" s="7" t="str" cm="1">
        <f t="array" ref="H247">_xlfn.IFS(Table1[[#This Row],[in_or_out]]="out", "Take_out",Table1[[#This Row],[in_or_out]]="in", "Dine_in", Table1[[#This Row],[in_or_out]]="","Unknown")</f>
        <v>Take_out</v>
      </c>
    </row>
    <row r="248" spans="1:8" ht="15.75">
      <c r="A248" s="18">
        <v>247</v>
      </c>
      <c r="B248" s="7" t="s">
        <v>258</v>
      </c>
      <c r="C248" s="12">
        <v>45336.556944444441</v>
      </c>
      <c r="D248" s="7" t="s">
        <v>21</v>
      </c>
      <c r="E248" s="7">
        <v>1</v>
      </c>
      <c r="F248" s="7" t="s">
        <v>13</v>
      </c>
      <c r="G248" s="19" t="s">
        <v>14</v>
      </c>
      <c r="H248" s="7" t="str" cm="1">
        <f t="array" ref="H248">_xlfn.IFS(Table1[[#This Row],[in_or_out]]="out", "Take_out",Table1[[#This Row],[in_or_out]]="in", "Dine_in", Table1[[#This Row],[in_or_out]]="","Unknown")</f>
        <v>Dine_in</v>
      </c>
    </row>
    <row r="249" spans="1:8" ht="15.75">
      <c r="A249" s="18">
        <v>248</v>
      </c>
      <c r="B249" s="7" t="s">
        <v>258</v>
      </c>
      <c r="C249" s="12">
        <v>45336.556944444441</v>
      </c>
      <c r="D249" s="7" t="s">
        <v>8</v>
      </c>
      <c r="E249" s="7">
        <v>1</v>
      </c>
      <c r="F249" s="7" t="s">
        <v>13</v>
      </c>
      <c r="G249" s="19" t="s">
        <v>789</v>
      </c>
      <c r="H249" s="7" t="str" cm="1">
        <f t="array" ref="H249">_xlfn.IFS(Table1[[#This Row],[in_or_out]]="out", "Take_out",Table1[[#This Row],[in_or_out]]="in", "Dine_in", Table1[[#This Row],[in_or_out]]="","Unknown")</f>
        <v>Unknown</v>
      </c>
    </row>
    <row r="250" spans="1:8" ht="15.75">
      <c r="A250" s="18">
        <v>249</v>
      </c>
      <c r="B250" s="7" t="s">
        <v>259</v>
      </c>
      <c r="C250" s="12">
        <v>45336.561805555553</v>
      </c>
      <c r="D250" s="7" t="s">
        <v>24</v>
      </c>
      <c r="E250" s="7">
        <v>1</v>
      </c>
      <c r="F250" s="7" t="s">
        <v>141</v>
      </c>
      <c r="G250" s="19" t="s">
        <v>10</v>
      </c>
      <c r="H250" s="7" t="str" cm="1">
        <f t="array" ref="H250">_xlfn.IFS(Table1[[#This Row],[in_or_out]]="out", "Take_out",Table1[[#This Row],[in_or_out]]="in", "Dine_in", Table1[[#This Row],[in_or_out]]="","Unknown")</f>
        <v>Take_out</v>
      </c>
    </row>
    <row r="251" spans="1:8" ht="15.75">
      <c r="A251" s="18">
        <v>250</v>
      </c>
      <c r="B251" s="7" t="s">
        <v>260</v>
      </c>
      <c r="C251" s="12">
        <v>45336.566666666666</v>
      </c>
      <c r="D251" s="7" t="s">
        <v>18</v>
      </c>
      <c r="E251" s="7">
        <v>1</v>
      </c>
      <c r="F251" s="7" t="s">
        <v>25</v>
      </c>
      <c r="G251" s="19" t="s">
        <v>14</v>
      </c>
      <c r="H251" s="7" t="str" cm="1">
        <f t="array" ref="H251">_xlfn.IFS(Table1[[#This Row],[in_or_out]]="out", "Take_out",Table1[[#This Row],[in_or_out]]="in", "Dine_in", Table1[[#This Row],[in_or_out]]="","Unknown")</f>
        <v>Dine_in</v>
      </c>
    </row>
    <row r="252" spans="1:8" ht="15.75">
      <c r="A252" s="18">
        <v>251</v>
      </c>
      <c r="B252" s="7" t="s">
        <v>261</v>
      </c>
      <c r="C252" s="12">
        <v>45336.571527777778</v>
      </c>
      <c r="D252" s="7" t="s">
        <v>110</v>
      </c>
      <c r="E252" s="7">
        <v>1</v>
      </c>
      <c r="F252" s="7" t="s">
        <v>16</v>
      </c>
      <c r="G252" s="19" t="s">
        <v>10</v>
      </c>
      <c r="H252" s="7" t="str" cm="1">
        <f t="array" ref="H252">_xlfn.IFS(Table1[[#This Row],[in_or_out]]="out", "Take_out",Table1[[#This Row],[in_or_out]]="in", "Dine_in", Table1[[#This Row],[in_or_out]]="","Unknown")</f>
        <v>Take_out</v>
      </c>
    </row>
    <row r="253" spans="1:8" ht="15.75">
      <c r="A253" s="18">
        <v>252</v>
      </c>
      <c r="B253" s="7" t="s">
        <v>262</v>
      </c>
      <c r="C253" s="12">
        <v>45336.576388888891</v>
      </c>
      <c r="D253" s="7" t="s">
        <v>160</v>
      </c>
      <c r="E253" s="7">
        <v>1</v>
      </c>
      <c r="F253" s="7" t="s">
        <v>19</v>
      </c>
      <c r="G253" s="19" t="s">
        <v>14</v>
      </c>
      <c r="H253" s="7" t="str" cm="1">
        <f t="array" ref="H253">_xlfn.IFS(Table1[[#This Row],[in_or_out]]="out", "Take_out",Table1[[#This Row],[in_or_out]]="in", "Dine_in", Table1[[#This Row],[in_or_out]]="","Unknown")</f>
        <v>Dine_in</v>
      </c>
    </row>
    <row r="254" spans="1:8" ht="15.75">
      <c r="A254" s="18">
        <v>253</v>
      </c>
      <c r="B254" s="7" t="s">
        <v>263</v>
      </c>
      <c r="C254" s="12">
        <v>45336.581250000003</v>
      </c>
      <c r="D254" s="7" t="s">
        <v>56</v>
      </c>
      <c r="E254" s="7">
        <v>1</v>
      </c>
      <c r="F254" s="7" t="s">
        <v>22</v>
      </c>
      <c r="G254" s="19" t="s">
        <v>10</v>
      </c>
      <c r="H254" s="7" t="str" cm="1">
        <f t="array" ref="H254">_xlfn.IFS(Table1[[#This Row],[in_or_out]]="out", "Take_out",Table1[[#This Row],[in_or_out]]="in", "Dine_in", Table1[[#This Row],[in_or_out]]="","Unknown")</f>
        <v>Take_out</v>
      </c>
    </row>
    <row r="255" spans="1:8" ht="15.75">
      <c r="A255" s="18">
        <v>254</v>
      </c>
      <c r="B255" s="7" t="s">
        <v>264</v>
      </c>
      <c r="C255" s="12">
        <v>45336.586805555555</v>
      </c>
      <c r="D255" s="7" t="s">
        <v>50</v>
      </c>
      <c r="E255" s="7">
        <v>1</v>
      </c>
      <c r="F255" s="7" t="s">
        <v>29</v>
      </c>
      <c r="G255" s="19" t="s">
        <v>14</v>
      </c>
      <c r="H255" s="7" t="str" cm="1">
        <f t="array" ref="H255">_xlfn.IFS(Table1[[#This Row],[in_or_out]]="out", "Take_out",Table1[[#This Row],[in_or_out]]="in", "Dine_in", Table1[[#This Row],[in_or_out]]="","Unknown")</f>
        <v>Dine_in</v>
      </c>
    </row>
    <row r="256" spans="1:8" ht="15.75">
      <c r="A256" s="18">
        <v>255</v>
      </c>
      <c r="B256" s="7" t="s">
        <v>264</v>
      </c>
      <c r="C256" s="12">
        <v>45336.586805555555</v>
      </c>
      <c r="D256" s="7" t="s">
        <v>59</v>
      </c>
      <c r="E256" s="7">
        <v>1</v>
      </c>
      <c r="F256" s="7" t="s">
        <v>29</v>
      </c>
      <c r="G256" s="19" t="s">
        <v>789</v>
      </c>
      <c r="H256" s="7" t="str" cm="1">
        <f t="array" ref="H256">_xlfn.IFS(Table1[[#This Row],[in_or_out]]="out", "Take_out",Table1[[#This Row],[in_or_out]]="in", "Dine_in", Table1[[#This Row],[in_or_out]]="","Unknown")</f>
        <v>Unknown</v>
      </c>
    </row>
    <row r="257" spans="1:8" ht="15.75">
      <c r="A257" s="18">
        <v>256</v>
      </c>
      <c r="B257" s="7" t="s">
        <v>265</v>
      </c>
      <c r="C257" s="12">
        <v>45336.591666666667</v>
      </c>
      <c r="D257" s="7" t="s">
        <v>34</v>
      </c>
      <c r="E257" s="7">
        <v>1</v>
      </c>
      <c r="F257" s="7" t="s">
        <v>33</v>
      </c>
      <c r="G257" s="19" t="s">
        <v>10</v>
      </c>
      <c r="H257" s="7" t="str" cm="1">
        <f t="array" ref="H257">_xlfn.IFS(Table1[[#This Row],[in_or_out]]="out", "Take_out",Table1[[#This Row],[in_or_out]]="in", "Dine_in", Table1[[#This Row],[in_or_out]]="","Unknown")</f>
        <v>Take_out</v>
      </c>
    </row>
    <row r="258" spans="1:8" ht="15.75">
      <c r="A258" s="18">
        <v>257</v>
      </c>
      <c r="B258" s="7" t="s">
        <v>266</v>
      </c>
      <c r="C258" s="12">
        <v>45336.59652777778</v>
      </c>
      <c r="D258" s="7" t="s">
        <v>166</v>
      </c>
      <c r="E258" s="7">
        <v>1</v>
      </c>
      <c r="F258" s="7" t="s">
        <v>37</v>
      </c>
      <c r="G258" s="19" t="s">
        <v>14</v>
      </c>
      <c r="H258" s="7" t="str" cm="1">
        <f t="array" ref="H258">_xlfn.IFS(Table1[[#This Row],[in_or_out]]="out", "Take_out",Table1[[#This Row],[in_or_out]]="in", "Dine_in", Table1[[#This Row],[in_or_out]]="","Unknown")</f>
        <v>Dine_in</v>
      </c>
    </row>
    <row r="259" spans="1:8" ht="15.75">
      <c r="A259" s="18">
        <v>258</v>
      </c>
      <c r="B259" s="7" t="s">
        <v>267</v>
      </c>
      <c r="C259" s="12">
        <v>45336.601388888892</v>
      </c>
      <c r="D259" s="7" t="s">
        <v>45</v>
      </c>
      <c r="E259" s="7">
        <v>1</v>
      </c>
      <c r="F259" s="7" t="s">
        <v>40</v>
      </c>
      <c r="G259" s="19" t="s">
        <v>10</v>
      </c>
      <c r="H259" s="7" t="str" cm="1">
        <f t="array" ref="H259">_xlfn.IFS(Table1[[#This Row],[in_or_out]]="out", "Take_out",Table1[[#This Row],[in_or_out]]="in", "Dine_in", Table1[[#This Row],[in_or_out]]="","Unknown")</f>
        <v>Take_out</v>
      </c>
    </row>
    <row r="260" spans="1:8" ht="15.75">
      <c r="A260" s="18">
        <v>259</v>
      </c>
      <c r="B260" s="7" t="s">
        <v>268</v>
      </c>
      <c r="C260" s="12">
        <v>45336.606249999997</v>
      </c>
      <c r="D260" s="7" t="s">
        <v>52</v>
      </c>
      <c r="E260" s="7">
        <v>1</v>
      </c>
      <c r="F260" s="7" t="s">
        <v>43</v>
      </c>
      <c r="G260" s="19" t="s">
        <v>14</v>
      </c>
      <c r="H260" s="7" t="str" cm="1">
        <f t="array" ref="H260">_xlfn.IFS(Table1[[#This Row],[in_or_out]]="out", "Take_out",Table1[[#This Row],[in_or_out]]="in", "Dine_in", Table1[[#This Row],[in_or_out]]="","Unknown")</f>
        <v>Dine_in</v>
      </c>
    </row>
    <row r="261" spans="1:8" ht="15.75">
      <c r="A261" s="18">
        <v>260</v>
      </c>
      <c r="B261" s="7" t="s">
        <v>269</v>
      </c>
      <c r="C261" s="12">
        <v>45336.611111111109</v>
      </c>
      <c r="D261" s="7" t="s">
        <v>142</v>
      </c>
      <c r="E261" s="7">
        <v>1</v>
      </c>
      <c r="F261" s="7" t="s">
        <v>137</v>
      </c>
      <c r="G261" s="19" t="s">
        <v>10</v>
      </c>
      <c r="H261" s="7" t="str" cm="1">
        <f t="array" ref="H261">_xlfn.IFS(Table1[[#This Row],[in_or_out]]="out", "Take_out",Table1[[#This Row],[in_or_out]]="in", "Dine_in", Table1[[#This Row],[in_or_out]]="","Unknown")</f>
        <v>Take_out</v>
      </c>
    </row>
    <row r="262" spans="1:8" ht="15.75">
      <c r="A262" s="18">
        <v>261</v>
      </c>
      <c r="B262" s="7" t="s">
        <v>270</v>
      </c>
      <c r="C262" s="12">
        <v>45336.615972222222</v>
      </c>
      <c r="D262" s="7" t="s">
        <v>89</v>
      </c>
      <c r="E262" s="7">
        <v>1</v>
      </c>
      <c r="F262" s="7" t="s">
        <v>144</v>
      </c>
      <c r="G262" s="19" t="s">
        <v>14</v>
      </c>
      <c r="H262" s="7" t="str" cm="1">
        <f t="array" ref="H262">_xlfn.IFS(Table1[[#This Row],[in_or_out]]="out", "Take_out",Table1[[#This Row],[in_or_out]]="in", "Dine_in", Table1[[#This Row],[in_or_out]]="","Unknown")</f>
        <v>Dine_in</v>
      </c>
    </row>
    <row r="263" spans="1:8" ht="15.75">
      <c r="A263" s="18">
        <v>262</v>
      </c>
      <c r="B263" s="7" t="s">
        <v>271</v>
      </c>
      <c r="C263" s="12">
        <v>45336.62777777778</v>
      </c>
      <c r="D263" s="7" t="s">
        <v>59</v>
      </c>
      <c r="E263" s="7">
        <v>1</v>
      </c>
      <c r="F263" s="7" t="s">
        <v>9</v>
      </c>
      <c r="G263" s="19" t="s">
        <v>10</v>
      </c>
      <c r="H263" s="7" t="str" cm="1">
        <f t="array" ref="H263">_xlfn.IFS(Table1[[#This Row],[in_or_out]]="out", "Take_out",Table1[[#This Row],[in_or_out]]="in", "Dine_in", Table1[[#This Row],[in_or_out]]="","Unknown")</f>
        <v>Take_out</v>
      </c>
    </row>
    <row r="264" spans="1:8" ht="15.75">
      <c r="A264" s="18">
        <v>263</v>
      </c>
      <c r="B264" s="7" t="s">
        <v>272</v>
      </c>
      <c r="C264" s="12">
        <v>45336.640277777777</v>
      </c>
      <c r="D264" s="7" t="s">
        <v>21</v>
      </c>
      <c r="E264" s="7">
        <v>1</v>
      </c>
      <c r="F264" s="7" t="s">
        <v>13</v>
      </c>
      <c r="G264" s="19" t="s">
        <v>14</v>
      </c>
      <c r="H264" s="7" t="str" cm="1">
        <f t="array" ref="H264">_xlfn.IFS(Table1[[#This Row],[in_or_out]]="out", "Take_out",Table1[[#This Row],[in_or_out]]="in", "Dine_in", Table1[[#This Row],[in_or_out]]="","Unknown")</f>
        <v>Dine_in</v>
      </c>
    </row>
    <row r="265" spans="1:8" ht="15.75">
      <c r="A265" s="18">
        <v>264</v>
      </c>
      <c r="B265" s="7" t="s">
        <v>273</v>
      </c>
      <c r="C265" s="12">
        <v>45336.65347222222</v>
      </c>
      <c r="D265" s="7" t="s">
        <v>34</v>
      </c>
      <c r="E265" s="7">
        <v>1</v>
      </c>
      <c r="F265" s="7" t="s">
        <v>141</v>
      </c>
      <c r="G265" s="19" t="s">
        <v>10</v>
      </c>
      <c r="H265" s="7" t="str" cm="1">
        <f t="array" ref="H265">_xlfn.IFS(Table1[[#This Row],[in_or_out]]="out", "Take_out",Table1[[#This Row],[in_or_out]]="in", "Dine_in", Table1[[#This Row],[in_or_out]]="","Unknown")</f>
        <v>Take_out</v>
      </c>
    </row>
    <row r="266" spans="1:8" ht="15.75">
      <c r="A266" s="18">
        <v>265</v>
      </c>
      <c r="B266" s="7" t="s">
        <v>274</v>
      </c>
      <c r="C266" s="12">
        <v>45336.665972222225</v>
      </c>
      <c r="D266" s="7" t="s">
        <v>38</v>
      </c>
      <c r="E266" s="7">
        <v>1</v>
      </c>
      <c r="F266" s="7" t="s">
        <v>25</v>
      </c>
      <c r="G266" s="19" t="s">
        <v>14</v>
      </c>
      <c r="H266" s="7" t="str" cm="1">
        <f t="array" ref="H266">_xlfn.IFS(Table1[[#This Row],[in_or_out]]="out", "Take_out",Table1[[#This Row],[in_or_out]]="in", "Dine_in", Table1[[#This Row],[in_or_out]]="","Unknown")</f>
        <v>Dine_in</v>
      </c>
    </row>
    <row r="267" spans="1:8" ht="15.75">
      <c r="A267" s="18">
        <v>266</v>
      </c>
      <c r="B267" s="7" t="s">
        <v>275</v>
      </c>
      <c r="C267" s="12">
        <v>45336.678472222222</v>
      </c>
      <c r="D267" s="7" t="s">
        <v>28</v>
      </c>
      <c r="E267" s="7">
        <v>1</v>
      </c>
      <c r="F267" s="7" t="s">
        <v>16</v>
      </c>
      <c r="G267" s="19" t="s">
        <v>10</v>
      </c>
      <c r="H267" s="7" t="str" cm="1">
        <f t="array" ref="H267">_xlfn.IFS(Table1[[#This Row],[in_or_out]]="out", "Take_out",Table1[[#This Row],[in_or_out]]="in", "Dine_in", Table1[[#This Row],[in_or_out]]="","Unknown")</f>
        <v>Take_out</v>
      </c>
    </row>
    <row r="268" spans="1:8" ht="15.75">
      <c r="A268" s="18">
        <v>267</v>
      </c>
      <c r="B268" s="7" t="s">
        <v>276</v>
      </c>
      <c r="C268" s="12">
        <v>45336.690972222219</v>
      </c>
      <c r="D268" s="7" t="s">
        <v>67</v>
      </c>
      <c r="E268" s="7">
        <v>1</v>
      </c>
      <c r="F268" s="7" t="s">
        <v>19</v>
      </c>
      <c r="G268" s="19" t="s">
        <v>14</v>
      </c>
      <c r="H268" s="7" t="str" cm="1">
        <f t="array" ref="H268">_xlfn.IFS(Table1[[#This Row],[in_or_out]]="out", "Take_out",Table1[[#This Row],[in_or_out]]="in", "Dine_in", Table1[[#This Row],[in_or_out]]="","Unknown")</f>
        <v>Dine_in</v>
      </c>
    </row>
    <row r="269" spans="1:8" ht="15.75">
      <c r="A269" s="18">
        <v>268</v>
      </c>
      <c r="B269" s="7" t="s">
        <v>277</v>
      </c>
      <c r="C269" s="12">
        <v>45336.703472222223</v>
      </c>
      <c r="D269" s="7" t="s">
        <v>48</v>
      </c>
      <c r="E269" s="7">
        <v>1</v>
      </c>
      <c r="F269" s="7" t="s">
        <v>22</v>
      </c>
      <c r="G269" s="19" t="s">
        <v>10</v>
      </c>
      <c r="H269" s="7" t="str" cm="1">
        <f t="array" ref="H269">_xlfn.IFS(Table1[[#This Row],[in_or_out]]="out", "Take_out",Table1[[#This Row],[in_or_out]]="in", "Dine_in", Table1[[#This Row],[in_or_out]]="","Unknown")</f>
        <v>Take_out</v>
      </c>
    </row>
    <row r="270" spans="1:8" ht="15.75">
      <c r="A270" s="18">
        <v>269</v>
      </c>
      <c r="B270" s="7" t="s">
        <v>278</v>
      </c>
      <c r="C270" s="12">
        <v>45336.708333333336</v>
      </c>
      <c r="D270" s="7" t="s">
        <v>160</v>
      </c>
      <c r="E270" s="7">
        <v>1</v>
      </c>
      <c r="F270" s="7" t="s">
        <v>29</v>
      </c>
      <c r="G270" s="19" t="s">
        <v>14</v>
      </c>
      <c r="H270" s="7" t="str" cm="1">
        <f t="array" ref="H270">_xlfn.IFS(Table1[[#This Row],[in_or_out]]="out", "Take_out",Table1[[#This Row],[in_or_out]]="in", "Dine_in", Table1[[#This Row],[in_or_out]]="","Unknown")</f>
        <v>Dine_in</v>
      </c>
    </row>
    <row r="271" spans="1:8" ht="15.75">
      <c r="A271" s="18">
        <v>270</v>
      </c>
      <c r="B271" s="7" t="s">
        <v>279</v>
      </c>
      <c r="C271" s="12">
        <v>45337.293055555558</v>
      </c>
      <c r="D271" s="7" t="s">
        <v>42</v>
      </c>
      <c r="E271" s="7">
        <v>1</v>
      </c>
      <c r="F271" s="7" t="s">
        <v>139</v>
      </c>
      <c r="G271" s="19" t="s">
        <v>10</v>
      </c>
      <c r="H271" s="7" t="str" cm="1">
        <f t="array" ref="H271">_xlfn.IFS(Table1[[#This Row],[in_or_out]]="out", "Take_out",Table1[[#This Row],[in_or_out]]="in", "Dine_in", Table1[[#This Row],[in_or_out]]="","Unknown")</f>
        <v>Take_out</v>
      </c>
    </row>
    <row r="272" spans="1:8" ht="15.75">
      <c r="A272" s="18">
        <v>271</v>
      </c>
      <c r="B272" s="7" t="s">
        <v>280</v>
      </c>
      <c r="C272" s="12">
        <v>45337.29791666667</v>
      </c>
      <c r="D272" s="7" t="s">
        <v>67</v>
      </c>
      <c r="E272" s="7">
        <v>1</v>
      </c>
      <c r="F272" s="7" t="s">
        <v>281</v>
      </c>
      <c r="G272" s="19" t="s">
        <v>14</v>
      </c>
      <c r="H272" s="7" t="str" cm="1">
        <f t="array" ref="H272">_xlfn.IFS(Table1[[#This Row],[in_or_out]]="out", "Take_out",Table1[[#This Row],[in_or_out]]="in", "Dine_in", Table1[[#This Row],[in_or_out]]="","Unknown")</f>
        <v>Dine_in</v>
      </c>
    </row>
    <row r="273" spans="1:8" ht="15.75">
      <c r="A273" s="18">
        <v>272</v>
      </c>
      <c r="B273" s="7" t="s">
        <v>280</v>
      </c>
      <c r="C273" s="12">
        <v>45337.29791666667</v>
      </c>
      <c r="D273" s="7" t="s">
        <v>50</v>
      </c>
      <c r="E273" s="7">
        <v>1</v>
      </c>
      <c r="F273" s="7" t="s">
        <v>281</v>
      </c>
      <c r="G273" s="19" t="s">
        <v>789</v>
      </c>
      <c r="H273" s="7" t="str" cm="1">
        <f t="array" ref="H273">_xlfn.IFS(Table1[[#This Row],[in_or_out]]="out", "Take_out",Table1[[#This Row],[in_or_out]]="in", "Dine_in", Table1[[#This Row],[in_or_out]]="","Unknown")</f>
        <v>Unknown</v>
      </c>
    </row>
    <row r="274" spans="1:8" ht="15.75">
      <c r="A274" s="18">
        <v>273</v>
      </c>
      <c r="B274" s="7" t="s">
        <v>282</v>
      </c>
      <c r="C274" s="12">
        <v>45337.302777777775</v>
      </c>
      <c r="D274" s="7" t="s">
        <v>32</v>
      </c>
      <c r="E274" s="7">
        <v>1</v>
      </c>
      <c r="F274" s="7" t="s">
        <v>283</v>
      </c>
      <c r="G274" s="19" t="s">
        <v>10</v>
      </c>
      <c r="H274" s="7" t="str" cm="1">
        <f t="array" ref="H274">_xlfn.IFS(Table1[[#This Row],[in_or_out]]="out", "Take_out",Table1[[#This Row],[in_or_out]]="in", "Dine_in", Table1[[#This Row],[in_or_out]]="","Unknown")</f>
        <v>Take_out</v>
      </c>
    </row>
    <row r="275" spans="1:8" ht="15.75">
      <c r="A275" s="18">
        <v>274</v>
      </c>
      <c r="B275" s="7" t="s">
        <v>284</v>
      </c>
      <c r="C275" s="12">
        <v>45337.307638888888</v>
      </c>
      <c r="D275" s="7" t="s">
        <v>142</v>
      </c>
      <c r="E275" s="7">
        <v>1</v>
      </c>
      <c r="F275" s="7" t="s">
        <v>285</v>
      </c>
      <c r="G275" s="19" t="s">
        <v>14</v>
      </c>
      <c r="H275" s="7" t="str" cm="1">
        <f t="array" ref="H275">_xlfn.IFS(Table1[[#This Row],[in_or_out]]="out", "Take_out",Table1[[#This Row],[in_or_out]]="in", "Dine_in", Table1[[#This Row],[in_or_out]]="","Unknown")</f>
        <v>Dine_in</v>
      </c>
    </row>
    <row r="276" spans="1:8" ht="15.75">
      <c r="A276" s="18">
        <v>275</v>
      </c>
      <c r="B276" s="7" t="s">
        <v>286</v>
      </c>
      <c r="C276" s="12">
        <v>45337.3125</v>
      </c>
      <c r="D276" s="7" t="s">
        <v>38</v>
      </c>
      <c r="E276" s="7">
        <v>1</v>
      </c>
      <c r="F276" s="7" t="s">
        <v>287</v>
      </c>
      <c r="G276" s="19" t="s">
        <v>10</v>
      </c>
      <c r="H276" s="7" t="str" cm="1">
        <f t="array" ref="H276">_xlfn.IFS(Table1[[#This Row],[in_or_out]]="out", "Take_out",Table1[[#This Row],[in_or_out]]="in", "Dine_in", Table1[[#This Row],[in_or_out]]="","Unknown")</f>
        <v>Take_out</v>
      </c>
    </row>
    <row r="277" spans="1:8" ht="15.75">
      <c r="A277" s="18">
        <v>276</v>
      </c>
      <c r="B277" s="7" t="s">
        <v>286</v>
      </c>
      <c r="C277" s="12">
        <v>45337.3125</v>
      </c>
      <c r="D277" s="7" t="s">
        <v>12</v>
      </c>
      <c r="E277" s="7">
        <v>1</v>
      </c>
      <c r="F277" s="7" t="s">
        <v>287</v>
      </c>
      <c r="G277" s="19" t="s">
        <v>789</v>
      </c>
      <c r="H277" s="7" t="str" cm="1">
        <f t="array" ref="H277">_xlfn.IFS(Table1[[#This Row],[in_or_out]]="out", "Take_out",Table1[[#This Row],[in_or_out]]="in", "Dine_in", Table1[[#This Row],[in_or_out]]="","Unknown")</f>
        <v>Unknown</v>
      </c>
    </row>
    <row r="278" spans="1:8" ht="15.75">
      <c r="A278" s="18">
        <v>277</v>
      </c>
      <c r="B278" s="7" t="s">
        <v>288</v>
      </c>
      <c r="C278" s="12">
        <v>45337.317361111112</v>
      </c>
      <c r="D278" s="7" t="s">
        <v>24</v>
      </c>
      <c r="E278" s="7">
        <v>1</v>
      </c>
      <c r="F278" s="7" t="s">
        <v>289</v>
      </c>
      <c r="G278" s="19" t="s">
        <v>14</v>
      </c>
      <c r="H278" s="7" t="str" cm="1">
        <f t="array" ref="H278">_xlfn.IFS(Table1[[#This Row],[in_or_out]]="out", "Take_out",Table1[[#This Row],[in_or_out]]="in", "Dine_in", Table1[[#This Row],[in_or_out]]="","Unknown")</f>
        <v>Dine_in</v>
      </c>
    </row>
    <row r="279" spans="1:8" ht="15.75">
      <c r="A279" s="18">
        <v>278</v>
      </c>
      <c r="B279" s="7" t="s">
        <v>290</v>
      </c>
      <c r="C279" s="12">
        <v>45337.322222222225</v>
      </c>
      <c r="D279" s="7" t="s">
        <v>18</v>
      </c>
      <c r="E279" s="7">
        <v>1</v>
      </c>
      <c r="F279" s="7" t="s">
        <v>291</v>
      </c>
      <c r="G279" s="19" t="s">
        <v>10</v>
      </c>
      <c r="H279" s="7" t="str" cm="1">
        <f t="array" ref="H279">_xlfn.IFS(Table1[[#This Row],[in_or_out]]="out", "Take_out",Table1[[#This Row],[in_or_out]]="in", "Dine_in", Table1[[#This Row],[in_or_out]]="","Unknown")</f>
        <v>Take_out</v>
      </c>
    </row>
    <row r="280" spans="1:8" ht="15.75">
      <c r="A280" s="18">
        <v>279</v>
      </c>
      <c r="B280" s="7" t="s">
        <v>292</v>
      </c>
      <c r="C280" s="12">
        <v>45337.327777777777</v>
      </c>
      <c r="D280" s="7" t="s">
        <v>21</v>
      </c>
      <c r="E280" s="7">
        <v>1</v>
      </c>
      <c r="F280" s="7" t="s">
        <v>293</v>
      </c>
      <c r="G280" s="19" t="s">
        <v>14</v>
      </c>
      <c r="H280" s="7" t="str" cm="1">
        <f t="array" ref="H280">_xlfn.IFS(Table1[[#This Row],[in_or_out]]="out", "Take_out",Table1[[#This Row],[in_or_out]]="in", "Dine_in", Table1[[#This Row],[in_or_out]]="","Unknown")</f>
        <v>Dine_in</v>
      </c>
    </row>
    <row r="281" spans="1:8" ht="15.75">
      <c r="A281" s="18">
        <v>280</v>
      </c>
      <c r="B281" s="7" t="s">
        <v>294</v>
      </c>
      <c r="C281" s="12">
        <v>45337.332638888889</v>
      </c>
      <c r="D281" s="7" t="s">
        <v>28</v>
      </c>
      <c r="E281" s="7">
        <v>1</v>
      </c>
      <c r="F281" s="7" t="s">
        <v>295</v>
      </c>
      <c r="G281" s="19" t="s">
        <v>10</v>
      </c>
      <c r="H281" s="7" t="str" cm="1">
        <f t="array" ref="H281">_xlfn.IFS(Table1[[#This Row],[in_or_out]]="out", "Take_out",Table1[[#This Row],[in_or_out]]="in", "Dine_in", Table1[[#This Row],[in_or_out]]="","Unknown")</f>
        <v>Take_out</v>
      </c>
    </row>
    <row r="282" spans="1:8" ht="15.75">
      <c r="A282" s="18">
        <v>281</v>
      </c>
      <c r="B282" s="7" t="s">
        <v>294</v>
      </c>
      <c r="C282" s="12">
        <v>45337.332638888889</v>
      </c>
      <c r="D282" s="7" t="s">
        <v>8</v>
      </c>
      <c r="E282" s="7">
        <v>1</v>
      </c>
      <c r="F282" s="7" t="s">
        <v>295</v>
      </c>
      <c r="G282" s="19" t="s">
        <v>789</v>
      </c>
      <c r="H282" s="7" t="str" cm="1">
        <f t="array" ref="H282">_xlfn.IFS(Table1[[#This Row],[in_or_out]]="out", "Take_out",Table1[[#This Row],[in_or_out]]="in", "Dine_in", Table1[[#This Row],[in_or_out]]="","Unknown")</f>
        <v>Unknown</v>
      </c>
    </row>
    <row r="283" spans="1:8" ht="15.75">
      <c r="A283" s="18">
        <v>282</v>
      </c>
      <c r="B283" s="7" t="s">
        <v>296</v>
      </c>
      <c r="C283" s="12">
        <v>45337.337500000001</v>
      </c>
      <c r="D283" s="7" t="s">
        <v>123</v>
      </c>
      <c r="E283" s="7">
        <v>1</v>
      </c>
      <c r="F283" s="7" t="s">
        <v>297</v>
      </c>
      <c r="G283" s="19" t="s">
        <v>14</v>
      </c>
      <c r="H283" s="7" t="str" cm="1">
        <f t="array" ref="H283">_xlfn.IFS(Table1[[#This Row],[in_or_out]]="out", "Take_out",Table1[[#This Row],[in_or_out]]="in", "Dine_in", Table1[[#This Row],[in_or_out]]="","Unknown")</f>
        <v>Dine_in</v>
      </c>
    </row>
    <row r="284" spans="1:8" ht="15.75">
      <c r="A284" s="18">
        <v>283</v>
      </c>
      <c r="B284" s="7" t="s">
        <v>298</v>
      </c>
      <c r="C284" s="12">
        <v>45337.342361111114</v>
      </c>
      <c r="D284" s="7" t="s">
        <v>110</v>
      </c>
      <c r="E284" s="7">
        <v>1</v>
      </c>
      <c r="F284" s="7" t="s">
        <v>299</v>
      </c>
      <c r="G284" s="19" t="s">
        <v>10</v>
      </c>
      <c r="H284" s="7" t="str" cm="1">
        <f t="array" ref="H284">_xlfn.IFS(Table1[[#This Row],[in_or_out]]="out", "Take_out",Table1[[#This Row],[in_or_out]]="in", "Dine_in", Table1[[#This Row],[in_or_out]]="","Unknown")</f>
        <v>Take_out</v>
      </c>
    </row>
    <row r="285" spans="1:8" ht="15.75">
      <c r="A285" s="18">
        <v>284</v>
      </c>
      <c r="B285" s="7" t="s">
        <v>300</v>
      </c>
      <c r="C285" s="12">
        <v>45337.347222222219</v>
      </c>
      <c r="D285" s="7" t="s">
        <v>26</v>
      </c>
      <c r="E285" s="7">
        <v>1</v>
      </c>
      <c r="F285" s="7" t="s">
        <v>301</v>
      </c>
      <c r="G285" s="19" t="s">
        <v>14</v>
      </c>
      <c r="H285" s="7" t="str" cm="1">
        <f t="array" ref="H285">_xlfn.IFS(Table1[[#This Row],[in_or_out]]="out", "Take_out",Table1[[#This Row],[in_or_out]]="in", "Dine_in", Table1[[#This Row],[in_or_out]]="","Unknown")</f>
        <v>Dine_in</v>
      </c>
    </row>
    <row r="286" spans="1:8" ht="15.75">
      <c r="A286" s="18">
        <v>285</v>
      </c>
      <c r="B286" s="7" t="s">
        <v>300</v>
      </c>
      <c r="C286" s="12">
        <v>45337.347222222219</v>
      </c>
      <c r="D286" s="7" t="s">
        <v>54</v>
      </c>
      <c r="E286" s="7">
        <v>1</v>
      </c>
      <c r="F286" s="7" t="s">
        <v>301</v>
      </c>
      <c r="G286" s="19" t="s">
        <v>789</v>
      </c>
      <c r="H286" s="7" t="str" cm="1">
        <f t="array" ref="H286">_xlfn.IFS(Table1[[#This Row],[in_or_out]]="out", "Take_out",Table1[[#This Row],[in_or_out]]="in", "Dine_in", Table1[[#This Row],[in_or_out]]="","Unknown")</f>
        <v>Unknown</v>
      </c>
    </row>
    <row r="287" spans="1:8" ht="15.75">
      <c r="A287" s="18">
        <v>286</v>
      </c>
      <c r="B287" s="7" t="s">
        <v>302</v>
      </c>
      <c r="C287" s="12">
        <v>45337.352083333331</v>
      </c>
      <c r="D287" s="7" t="s">
        <v>166</v>
      </c>
      <c r="E287" s="7">
        <v>1</v>
      </c>
      <c r="F287" s="7" t="s">
        <v>303</v>
      </c>
      <c r="G287" s="19" t="s">
        <v>10</v>
      </c>
      <c r="H287" s="7" t="str" cm="1">
        <f t="array" ref="H287">_xlfn.IFS(Table1[[#This Row],[in_or_out]]="out", "Take_out",Table1[[#This Row],[in_or_out]]="in", "Dine_in", Table1[[#This Row],[in_or_out]]="","Unknown")</f>
        <v>Take_out</v>
      </c>
    </row>
    <row r="288" spans="1:8" ht="15.75">
      <c r="A288" s="18">
        <v>287</v>
      </c>
      <c r="B288" s="7" t="s">
        <v>304</v>
      </c>
      <c r="C288" s="12">
        <v>45337.356944444444</v>
      </c>
      <c r="D288" s="7" t="s">
        <v>45</v>
      </c>
      <c r="E288" s="7">
        <v>1</v>
      </c>
      <c r="F288" s="7" t="s">
        <v>305</v>
      </c>
      <c r="G288" s="19" t="s">
        <v>14</v>
      </c>
      <c r="H288" s="7" t="str" cm="1">
        <f t="array" ref="H288">_xlfn.IFS(Table1[[#This Row],[in_or_out]]="out", "Take_out",Table1[[#This Row],[in_or_out]]="in", "Dine_in", Table1[[#This Row],[in_or_out]]="","Unknown")</f>
        <v>Dine_in</v>
      </c>
    </row>
    <row r="289" spans="1:8" ht="15.75">
      <c r="A289" s="18">
        <v>288</v>
      </c>
      <c r="B289" s="7" t="s">
        <v>306</v>
      </c>
      <c r="C289" s="12">
        <v>45337.361805555556</v>
      </c>
      <c r="D289" s="7" t="s">
        <v>34</v>
      </c>
      <c r="E289" s="7">
        <v>1</v>
      </c>
      <c r="F289" s="7" t="s">
        <v>307</v>
      </c>
      <c r="G289" s="19" t="s">
        <v>10</v>
      </c>
      <c r="H289" s="7" t="str" cm="1">
        <f t="array" ref="H289">_xlfn.IFS(Table1[[#This Row],[in_or_out]]="out", "Take_out",Table1[[#This Row],[in_or_out]]="in", "Dine_in", Table1[[#This Row],[in_or_out]]="","Unknown")</f>
        <v>Take_out</v>
      </c>
    </row>
    <row r="290" spans="1:8" ht="15.75">
      <c r="A290" s="18">
        <v>289</v>
      </c>
      <c r="B290" s="7" t="s">
        <v>308</v>
      </c>
      <c r="C290" s="12">
        <v>45337.366666666669</v>
      </c>
      <c r="D290" s="7" t="s">
        <v>56</v>
      </c>
      <c r="E290" s="7">
        <v>1</v>
      </c>
      <c r="F290" s="7" t="s">
        <v>309</v>
      </c>
      <c r="G290" s="19" t="s">
        <v>14</v>
      </c>
      <c r="H290" s="7" t="str" cm="1">
        <f t="array" ref="H290">_xlfn.IFS(Table1[[#This Row],[in_or_out]]="out", "Take_out",Table1[[#This Row],[in_or_out]]="in", "Dine_in", Table1[[#This Row],[in_or_out]]="","Unknown")</f>
        <v>Dine_in</v>
      </c>
    </row>
    <row r="291" spans="1:8" ht="15.75">
      <c r="A291" s="18">
        <v>290</v>
      </c>
      <c r="B291" s="7" t="s">
        <v>308</v>
      </c>
      <c r="C291" s="12">
        <v>45337.366666666669</v>
      </c>
      <c r="D291" s="7" t="s">
        <v>153</v>
      </c>
      <c r="E291" s="7">
        <v>1</v>
      </c>
      <c r="F291" s="7" t="s">
        <v>309</v>
      </c>
      <c r="G291" s="19" t="s">
        <v>789</v>
      </c>
      <c r="H291" s="7" t="str" cm="1">
        <f t="array" ref="H291">_xlfn.IFS(Table1[[#This Row],[in_or_out]]="out", "Take_out",Table1[[#This Row],[in_or_out]]="in", "Dine_in", Table1[[#This Row],[in_or_out]]="","Unknown")</f>
        <v>Unknown</v>
      </c>
    </row>
    <row r="292" spans="1:8" ht="15.75">
      <c r="A292" s="18">
        <v>291</v>
      </c>
      <c r="B292" s="7" t="s">
        <v>310</v>
      </c>
      <c r="C292" s="12">
        <v>45337.37222222222</v>
      </c>
      <c r="D292" s="7" t="s">
        <v>48</v>
      </c>
      <c r="E292" s="7">
        <v>1</v>
      </c>
      <c r="F292" s="7" t="s">
        <v>37</v>
      </c>
      <c r="G292" s="19" t="s">
        <v>10</v>
      </c>
      <c r="H292" s="7" t="str" cm="1">
        <f t="array" ref="H292">_xlfn.IFS(Table1[[#This Row],[in_or_out]]="out", "Take_out",Table1[[#This Row],[in_or_out]]="in", "Dine_in", Table1[[#This Row],[in_or_out]]="","Unknown")</f>
        <v>Take_out</v>
      </c>
    </row>
    <row r="293" spans="1:8" ht="15.75">
      <c r="A293" s="18">
        <v>292</v>
      </c>
      <c r="B293" s="7" t="s">
        <v>311</v>
      </c>
      <c r="C293" s="12">
        <v>45337.377083333333</v>
      </c>
      <c r="D293" s="7" t="s">
        <v>59</v>
      </c>
      <c r="E293" s="7">
        <v>1</v>
      </c>
      <c r="F293" s="7" t="s">
        <v>312</v>
      </c>
      <c r="G293" s="19" t="s">
        <v>14</v>
      </c>
      <c r="H293" s="7" t="str" cm="1">
        <f t="array" ref="H293">_xlfn.IFS(Table1[[#This Row],[in_or_out]]="out", "Take_out",Table1[[#This Row],[in_or_out]]="in", "Dine_in", Table1[[#This Row],[in_or_out]]="","Unknown")</f>
        <v>Dine_in</v>
      </c>
    </row>
    <row r="294" spans="1:8" ht="15.75">
      <c r="A294" s="18">
        <v>293</v>
      </c>
      <c r="B294" s="7" t="s">
        <v>313</v>
      </c>
      <c r="C294" s="12">
        <v>45337.381944444445</v>
      </c>
      <c r="D294" s="7" t="s">
        <v>30</v>
      </c>
      <c r="E294" s="7">
        <v>1</v>
      </c>
      <c r="F294" s="7" t="s">
        <v>314</v>
      </c>
      <c r="G294" s="19" t="s">
        <v>10</v>
      </c>
      <c r="H294" s="7" t="str" cm="1">
        <f t="array" ref="H294">_xlfn.IFS(Table1[[#This Row],[in_or_out]]="out", "Take_out",Table1[[#This Row],[in_or_out]]="in", "Dine_in", Table1[[#This Row],[in_or_out]]="","Unknown")</f>
        <v>Take_out</v>
      </c>
    </row>
    <row r="295" spans="1:8" ht="15.75">
      <c r="A295" s="18">
        <v>294</v>
      </c>
      <c r="B295" s="7" t="s">
        <v>315</v>
      </c>
      <c r="C295" s="12">
        <v>45337.386805555558</v>
      </c>
      <c r="D295" s="7" t="s">
        <v>52</v>
      </c>
      <c r="E295" s="7">
        <v>1</v>
      </c>
      <c r="F295" s="7" t="s">
        <v>316</v>
      </c>
      <c r="G295" s="19" t="s">
        <v>14</v>
      </c>
      <c r="H295" s="7" t="str" cm="1">
        <f t="array" ref="H295">_xlfn.IFS(Table1[[#This Row],[in_or_out]]="out", "Take_out",Table1[[#This Row],[in_or_out]]="in", "Dine_in", Table1[[#This Row],[in_or_out]]="","Unknown")</f>
        <v>Dine_in</v>
      </c>
    </row>
    <row r="296" spans="1:8" ht="15.75">
      <c r="A296" s="18">
        <v>295</v>
      </c>
      <c r="B296" s="7" t="s">
        <v>317</v>
      </c>
      <c r="C296" s="12">
        <v>45337.39166666667</v>
      </c>
      <c r="D296" s="7" t="s">
        <v>89</v>
      </c>
      <c r="E296" s="7">
        <v>1</v>
      </c>
      <c r="F296" s="7" t="s">
        <v>318</v>
      </c>
      <c r="G296" s="19" t="s">
        <v>10</v>
      </c>
      <c r="H296" s="7" t="str" cm="1">
        <f t="array" ref="H296">_xlfn.IFS(Table1[[#This Row],[in_or_out]]="out", "Take_out",Table1[[#This Row],[in_or_out]]="in", "Dine_in", Table1[[#This Row],[in_or_out]]="","Unknown")</f>
        <v>Take_out</v>
      </c>
    </row>
    <row r="297" spans="1:8" ht="15.75">
      <c r="A297" s="18">
        <v>296</v>
      </c>
      <c r="B297" s="7" t="s">
        <v>317</v>
      </c>
      <c r="C297" s="12">
        <v>45337.39166666667</v>
      </c>
      <c r="D297" s="7" t="s">
        <v>160</v>
      </c>
      <c r="E297" s="7">
        <v>1</v>
      </c>
      <c r="F297" s="7" t="s">
        <v>318</v>
      </c>
      <c r="G297" s="19" t="s">
        <v>789</v>
      </c>
      <c r="H297" s="7" t="str" cm="1">
        <f t="array" ref="H297">_xlfn.IFS(Table1[[#This Row],[in_or_out]]="out", "Take_out",Table1[[#This Row],[in_or_out]]="in", "Dine_in", Table1[[#This Row],[in_or_out]]="","Unknown")</f>
        <v>Unknown</v>
      </c>
    </row>
    <row r="298" spans="1:8" ht="15.75">
      <c r="A298" s="18">
        <v>297</v>
      </c>
      <c r="B298" s="7" t="s">
        <v>319</v>
      </c>
      <c r="C298" s="12">
        <v>45337.396527777775</v>
      </c>
      <c r="D298" s="7" t="s">
        <v>36</v>
      </c>
      <c r="E298" s="7">
        <v>1</v>
      </c>
      <c r="F298" s="7" t="s">
        <v>320</v>
      </c>
      <c r="G298" s="19" t="s">
        <v>14</v>
      </c>
      <c r="H298" s="7" t="str" cm="1">
        <f t="array" ref="H298">_xlfn.IFS(Table1[[#This Row],[in_or_out]]="out", "Take_out",Table1[[#This Row],[in_or_out]]="in", "Dine_in", Table1[[#This Row],[in_or_out]]="","Unknown")</f>
        <v>Dine_in</v>
      </c>
    </row>
    <row r="299" spans="1:8" ht="15.75">
      <c r="A299" s="18">
        <v>298</v>
      </c>
      <c r="B299" s="7" t="s">
        <v>321</v>
      </c>
      <c r="C299" s="12">
        <v>45337.401388888888</v>
      </c>
      <c r="D299" s="7" t="s">
        <v>8</v>
      </c>
      <c r="E299" s="7">
        <v>1</v>
      </c>
      <c r="F299" s="7" t="s">
        <v>322</v>
      </c>
      <c r="G299" s="19" t="s">
        <v>10</v>
      </c>
      <c r="H299" s="7" t="str" cm="1">
        <f t="array" ref="H299">_xlfn.IFS(Table1[[#This Row],[in_or_out]]="out", "Take_out",Table1[[#This Row],[in_or_out]]="in", "Dine_in", Table1[[#This Row],[in_or_out]]="","Unknown")</f>
        <v>Take_out</v>
      </c>
    </row>
    <row r="300" spans="1:8" ht="15.75">
      <c r="A300" s="18">
        <v>299</v>
      </c>
      <c r="B300" s="7" t="s">
        <v>323</v>
      </c>
      <c r="C300" s="12">
        <v>45337.408333333333</v>
      </c>
      <c r="D300" s="7" t="s">
        <v>52</v>
      </c>
      <c r="E300" s="7">
        <v>1</v>
      </c>
      <c r="F300" s="7" t="s">
        <v>324</v>
      </c>
      <c r="G300" s="19" t="s">
        <v>14</v>
      </c>
      <c r="H300" s="7" t="str" cm="1">
        <f t="array" ref="H300">_xlfn.IFS(Table1[[#This Row],[in_or_out]]="out", "Take_out",Table1[[#This Row],[in_or_out]]="in", "Dine_in", Table1[[#This Row],[in_or_out]]="","Unknown")</f>
        <v>Dine_in</v>
      </c>
    </row>
    <row r="301" spans="1:8" ht="15.75">
      <c r="A301" s="18">
        <v>300</v>
      </c>
      <c r="B301" s="7" t="s">
        <v>325</v>
      </c>
      <c r="C301" s="12">
        <v>45337.419444444444</v>
      </c>
      <c r="D301" s="7" t="s">
        <v>50</v>
      </c>
      <c r="E301" s="7">
        <v>1</v>
      </c>
      <c r="F301" s="7" t="s">
        <v>281</v>
      </c>
      <c r="G301" s="19" t="s">
        <v>10</v>
      </c>
      <c r="H301" s="7" t="str" cm="1">
        <f t="array" ref="H301">_xlfn.IFS(Table1[[#This Row],[in_or_out]]="out", "Take_out",Table1[[#This Row],[in_or_out]]="in", "Dine_in", Table1[[#This Row],[in_or_out]]="","Unknown")</f>
        <v>Take_out</v>
      </c>
    </row>
    <row r="302" spans="1:8" ht="15.75">
      <c r="A302" s="18">
        <v>301</v>
      </c>
      <c r="B302" s="7" t="s">
        <v>326</v>
      </c>
      <c r="C302" s="12">
        <v>45337.430555555555</v>
      </c>
      <c r="D302" s="7" t="s">
        <v>56</v>
      </c>
      <c r="E302" s="7">
        <v>1</v>
      </c>
      <c r="F302" s="7" t="s">
        <v>49</v>
      </c>
      <c r="G302" s="19" t="s">
        <v>14</v>
      </c>
      <c r="H302" s="7" t="str" cm="1">
        <f t="array" ref="H302">_xlfn.IFS(Table1[[#This Row],[in_or_out]]="out", "Take_out",Table1[[#This Row],[in_or_out]]="in", "Dine_in", Table1[[#This Row],[in_or_out]]="","Unknown")</f>
        <v>Dine_in</v>
      </c>
    </row>
    <row r="303" spans="1:8" ht="15.75">
      <c r="A303" s="18">
        <v>302</v>
      </c>
      <c r="B303" s="7" t="s">
        <v>327</v>
      </c>
      <c r="C303" s="12">
        <v>45337.441666666666</v>
      </c>
      <c r="D303" s="7" t="s">
        <v>153</v>
      </c>
      <c r="E303" s="7">
        <v>1</v>
      </c>
      <c r="F303" s="7" t="s">
        <v>328</v>
      </c>
      <c r="G303" s="19" t="s">
        <v>10</v>
      </c>
      <c r="H303" s="7" t="str" cm="1">
        <f t="array" ref="H303">_xlfn.IFS(Table1[[#This Row],[in_or_out]]="out", "Take_out",Table1[[#This Row],[in_or_out]]="in", "Dine_in", Table1[[#This Row],[in_or_out]]="","Unknown")</f>
        <v>Take_out</v>
      </c>
    </row>
    <row r="304" spans="1:8" ht="15.75">
      <c r="A304" s="18">
        <v>303</v>
      </c>
      <c r="B304" s="7" t="s">
        <v>329</v>
      </c>
      <c r="C304" s="12">
        <v>45337.452777777777</v>
      </c>
      <c r="D304" s="7" t="s">
        <v>48</v>
      </c>
      <c r="E304" s="7">
        <v>1</v>
      </c>
      <c r="F304" s="7" t="s">
        <v>330</v>
      </c>
      <c r="G304" s="19" t="s">
        <v>14</v>
      </c>
      <c r="H304" s="7" t="str" cm="1">
        <f t="array" ref="H304">_xlfn.IFS(Table1[[#This Row],[in_or_out]]="out", "Take_out",Table1[[#This Row],[in_or_out]]="in", "Dine_in", Table1[[#This Row],[in_or_out]]="","Unknown")</f>
        <v>Dine_in</v>
      </c>
    </row>
    <row r="305" spans="1:8" ht="15.75">
      <c r="A305" s="18">
        <v>304</v>
      </c>
      <c r="B305" s="7" t="s">
        <v>331</v>
      </c>
      <c r="C305" s="12">
        <v>45337.463888888888</v>
      </c>
      <c r="D305" s="7" t="s">
        <v>34</v>
      </c>
      <c r="E305" s="7">
        <v>1</v>
      </c>
      <c r="F305" s="7" t="s">
        <v>332</v>
      </c>
      <c r="G305" s="19" t="s">
        <v>10</v>
      </c>
      <c r="H305" s="7" t="str" cm="1">
        <f t="array" ref="H305">_xlfn.IFS(Table1[[#This Row],[in_or_out]]="out", "Take_out",Table1[[#This Row],[in_or_out]]="in", "Dine_in", Table1[[#This Row],[in_or_out]]="","Unknown")</f>
        <v>Take_out</v>
      </c>
    </row>
    <row r="306" spans="1:8" ht="15.75">
      <c r="A306" s="18">
        <v>305</v>
      </c>
      <c r="B306" s="7" t="s">
        <v>331</v>
      </c>
      <c r="C306" s="12">
        <v>45337.463888888888</v>
      </c>
      <c r="D306" s="7" t="s">
        <v>54</v>
      </c>
      <c r="E306" s="7">
        <v>1</v>
      </c>
      <c r="F306" s="7" t="s">
        <v>332</v>
      </c>
      <c r="G306" s="19" t="s">
        <v>789</v>
      </c>
      <c r="H306" s="7" t="str" cm="1">
        <f t="array" ref="H306">_xlfn.IFS(Table1[[#This Row],[in_or_out]]="out", "Take_out",Table1[[#This Row],[in_or_out]]="in", "Dine_in", Table1[[#This Row],[in_or_out]]="","Unknown")</f>
        <v>Unknown</v>
      </c>
    </row>
    <row r="307" spans="1:8" ht="15.75">
      <c r="A307" s="18">
        <v>306</v>
      </c>
      <c r="B307" s="7" t="s">
        <v>333</v>
      </c>
      <c r="C307" s="12">
        <v>45337.474999999999</v>
      </c>
      <c r="D307" s="7" t="s">
        <v>32</v>
      </c>
      <c r="E307" s="7">
        <v>1</v>
      </c>
      <c r="F307" s="7" t="s">
        <v>334</v>
      </c>
      <c r="G307" s="19" t="s">
        <v>14</v>
      </c>
      <c r="H307" s="7" t="str" cm="1">
        <f t="array" ref="H307">_xlfn.IFS(Table1[[#This Row],[in_or_out]]="out", "Take_out",Table1[[#This Row],[in_or_out]]="in", "Dine_in", Table1[[#This Row],[in_or_out]]="","Unknown")</f>
        <v>Dine_in</v>
      </c>
    </row>
    <row r="308" spans="1:8" ht="15.75">
      <c r="A308" s="18">
        <v>307</v>
      </c>
      <c r="B308" s="7" t="s">
        <v>335</v>
      </c>
      <c r="C308" s="12">
        <v>45337.486111111109</v>
      </c>
      <c r="D308" s="7" t="s">
        <v>26</v>
      </c>
      <c r="E308" s="7">
        <v>1</v>
      </c>
      <c r="F308" s="7" t="s">
        <v>336</v>
      </c>
      <c r="G308" s="19" t="s">
        <v>10</v>
      </c>
      <c r="H308" s="7" t="str" cm="1">
        <f t="array" ref="H308">_xlfn.IFS(Table1[[#This Row],[in_or_out]]="out", "Take_out",Table1[[#This Row],[in_or_out]]="in", "Dine_in", Table1[[#This Row],[in_or_out]]="","Unknown")</f>
        <v>Take_out</v>
      </c>
    </row>
    <row r="309" spans="1:8" ht="15.75">
      <c r="A309" s="18">
        <v>308</v>
      </c>
      <c r="B309" s="7" t="s">
        <v>337</v>
      </c>
      <c r="C309" s="12">
        <v>45337.49722222222</v>
      </c>
      <c r="D309" s="7" t="s">
        <v>24</v>
      </c>
      <c r="E309" s="7">
        <v>1</v>
      </c>
      <c r="F309" s="7" t="s">
        <v>295</v>
      </c>
      <c r="G309" s="19" t="s">
        <v>14</v>
      </c>
      <c r="H309" s="7" t="str" cm="1">
        <f t="array" ref="H309">_xlfn.IFS(Table1[[#This Row],[in_or_out]]="out", "Take_out",Table1[[#This Row],[in_or_out]]="in", "Dine_in", Table1[[#This Row],[in_or_out]]="","Unknown")</f>
        <v>Dine_in</v>
      </c>
    </row>
    <row r="310" spans="1:8" ht="15.75">
      <c r="A310" s="18">
        <v>309</v>
      </c>
      <c r="B310" s="7" t="s">
        <v>338</v>
      </c>
      <c r="C310" s="12">
        <v>45337.504166666666</v>
      </c>
      <c r="D310" s="7" t="s">
        <v>45</v>
      </c>
      <c r="E310" s="7">
        <v>1</v>
      </c>
      <c r="F310" s="7" t="s">
        <v>339</v>
      </c>
      <c r="G310" s="19" t="s">
        <v>10</v>
      </c>
      <c r="H310" s="7" t="str" cm="1">
        <f t="array" ref="H310">_xlfn.IFS(Table1[[#This Row],[in_or_out]]="out", "Take_out",Table1[[#This Row],[in_or_out]]="in", "Dine_in", Table1[[#This Row],[in_or_out]]="","Unknown")</f>
        <v>Take_out</v>
      </c>
    </row>
    <row r="311" spans="1:8" ht="15.75">
      <c r="A311" s="18">
        <v>310</v>
      </c>
      <c r="B311" s="7" t="s">
        <v>340</v>
      </c>
      <c r="C311" s="12">
        <v>45337.508333333331</v>
      </c>
      <c r="D311" s="7" t="s">
        <v>18</v>
      </c>
      <c r="E311" s="7">
        <v>1</v>
      </c>
      <c r="F311" s="7" t="s">
        <v>341</v>
      </c>
      <c r="G311" s="19" t="s">
        <v>14</v>
      </c>
      <c r="H311" s="7" t="str" cm="1">
        <f t="array" ref="H311">_xlfn.IFS(Table1[[#This Row],[in_or_out]]="out", "Take_out",Table1[[#This Row],[in_or_out]]="in", "Dine_in", Table1[[#This Row],[in_or_out]]="","Unknown")</f>
        <v>Dine_in</v>
      </c>
    </row>
    <row r="312" spans="1:8" ht="15.75">
      <c r="A312" s="18">
        <v>311</v>
      </c>
      <c r="B312" s="7" t="s">
        <v>340</v>
      </c>
      <c r="C312" s="12">
        <v>45337.508333333331</v>
      </c>
      <c r="D312" s="7" t="s">
        <v>36</v>
      </c>
      <c r="E312" s="7">
        <v>1</v>
      </c>
      <c r="F312" s="7" t="s">
        <v>341</v>
      </c>
      <c r="G312" s="19" t="s">
        <v>789</v>
      </c>
      <c r="H312" s="7" t="str" cm="1">
        <f t="array" ref="H312">_xlfn.IFS(Table1[[#This Row],[in_or_out]]="out", "Take_out",Table1[[#This Row],[in_or_out]]="in", "Dine_in", Table1[[#This Row],[in_or_out]]="","Unknown")</f>
        <v>Unknown</v>
      </c>
    </row>
    <row r="313" spans="1:8" ht="15.75">
      <c r="A313" s="18">
        <v>312</v>
      </c>
      <c r="B313" s="7" t="s">
        <v>342</v>
      </c>
      <c r="C313" s="12">
        <v>45337.512499999997</v>
      </c>
      <c r="D313" s="7" t="s">
        <v>59</v>
      </c>
      <c r="E313" s="7">
        <v>1</v>
      </c>
      <c r="F313" s="7" t="s">
        <v>343</v>
      </c>
      <c r="G313" s="19" t="s">
        <v>10</v>
      </c>
      <c r="H313" s="7" t="str" cm="1">
        <f t="array" ref="H313">_xlfn.IFS(Table1[[#This Row],[in_or_out]]="out", "Take_out",Table1[[#This Row],[in_or_out]]="in", "Dine_in", Table1[[#This Row],[in_or_out]]="","Unknown")</f>
        <v>Take_out</v>
      </c>
    </row>
    <row r="314" spans="1:8" ht="15.75">
      <c r="A314" s="18">
        <v>313</v>
      </c>
      <c r="B314" s="7" t="s">
        <v>344</v>
      </c>
      <c r="C314" s="12">
        <v>45337.51666666667</v>
      </c>
      <c r="D314" s="7" t="s">
        <v>89</v>
      </c>
      <c r="E314" s="7">
        <v>1</v>
      </c>
      <c r="F314" s="7" t="s">
        <v>345</v>
      </c>
      <c r="G314" s="19" t="s">
        <v>14</v>
      </c>
      <c r="H314" s="7" t="str" cm="1">
        <f t="array" ref="H314">_xlfn.IFS(Table1[[#This Row],[in_or_out]]="out", "Take_out",Table1[[#This Row],[in_or_out]]="in", "Dine_in", Table1[[#This Row],[in_or_out]]="","Unknown")</f>
        <v>Dine_in</v>
      </c>
    </row>
    <row r="315" spans="1:8" ht="15.75">
      <c r="A315" s="18">
        <v>314</v>
      </c>
      <c r="B315" s="7" t="s">
        <v>346</v>
      </c>
      <c r="C315" s="12">
        <v>45337.520833333336</v>
      </c>
      <c r="D315" s="7" t="s">
        <v>123</v>
      </c>
      <c r="E315" s="7">
        <v>1</v>
      </c>
      <c r="F315" s="7" t="s">
        <v>347</v>
      </c>
      <c r="G315" s="19" t="s">
        <v>10</v>
      </c>
      <c r="H315" s="7" t="str" cm="1">
        <f t="array" ref="H315">_xlfn.IFS(Table1[[#This Row],[in_or_out]]="out", "Take_out",Table1[[#This Row],[in_or_out]]="in", "Dine_in", Table1[[#This Row],[in_or_out]]="","Unknown")</f>
        <v>Take_out</v>
      </c>
    </row>
    <row r="316" spans="1:8" ht="15.75">
      <c r="A316" s="18">
        <v>315</v>
      </c>
      <c r="B316" s="7" t="s">
        <v>348</v>
      </c>
      <c r="C316" s="12">
        <v>45337.525000000001</v>
      </c>
      <c r="D316" s="7" t="s">
        <v>160</v>
      </c>
      <c r="E316" s="7">
        <v>1</v>
      </c>
      <c r="F316" s="7" t="s">
        <v>349</v>
      </c>
      <c r="G316" s="19" t="s">
        <v>14</v>
      </c>
      <c r="H316" s="7" t="str" cm="1">
        <f t="array" ref="H316">_xlfn.IFS(Table1[[#This Row],[in_or_out]]="out", "Take_out",Table1[[#This Row],[in_or_out]]="in", "Dine_in", Table1[[#This Row],[in_or_out]]="","Unknown")</f>
        <v>Dine_in</v>
      </c>
    </row>
    <row r="317" spans="1:8" ht="15.75">
      <c r="A317" s="18">
        <v>316</v>
      </c>
      <c r="B317" s="7" t="s">
        <v>350</v>
      </c>
      <c r="C317" s="12">
        <v>45337.529166666667</v>
      </c>
      <c r="D317" s="7" t="s">
        <v>28</v>
      </c>
      <c r="E317" s="7">
        <v>1</v>
      </c>
      <c r="F317" s="7" t="s">
        <v>351</v>
      </c>
      <c r="G317" s="19" t="s">
        <v>10</v>
      </c>
      <c r="H317" s="7" t="str" cm="1">
        <f t="array" ref="H317">_xlfn.IFS(Table1[[#This Row],[in_or_out]]="out", "Take_out",Table1[[#This Row],[in_or_out]]="in", "Dine_in", Table1[[#This Row],[in_or_out]]="","Unknown")</f>
        <v>Take_out</v>
      </c>
    </row>
    <row r="318" spans="1:8" ht="15.75">
      <c r="A318" s="18">
        <v>317</v>
      </c>
      <c r="B318" s="7" t="s">
        <v>352</v>
      </c>
      <c r="C318" s="12">
        <v>45337.533333333333</v>
      </c>
      <c r="D318" s="7" t="s">
        <v>110</v>
      </c>
      <c r="E318" s="7">
        <v>1</v>
      </c>
      <c r="F318" s="7" t="s">
        <v>37</v>
      </c>
      <c r="G318" s="19" t="s">
        <v>14</v>
      </c>
      <c r="H318" s="7" t="str" cm="1">
        <f t="array" ref="H318">_xlfn.IFS(Table1[[#This Row],[in_or_out]]="out", "Take_out",Table1[[#This Row],[in_or_out]]="in", "Dine_in", Table1[[#This Row],[in_or_out]]="","Unknown")</f>
        <v>Dine_in</v>
      </c>
    </row>
    <row r="319" spans="1:8" ht="15.75">
      <c r="A319" s="18">
        <v>318</v>
      </c>
      <c r="B319" s="7" t="s">
        <v>353</v>
      </c>
      <c r="C319" s="12">
        <v>45337.537499999999</v>
      </c>
      <c r="D319" s="7" t="s">
        <v>30</v>
      </c>
      <c r="E319" s="7">
        <v>1</v>
      </c>
      <c r="F319" s="7" t="s">
        <v>29</v>
      </c>
      <c r="G319" s="19" t="s">
        <v>10</v>
      </c>
      <c r="H319" s="7" t="str" cm="1">
        <f t="array" ref="H319">_xlfn.IFS(Table1[[#This Row],[in_or_out]]="out", "Take_out",Table1[[#This Row],[in_or_out]]="in", "Dine_in", Table1[[#This Row],[in_or_out]]="","Unknown")</f>
        <v>Take_out</v>
      </c>
    </row>
    <row r="320" spans="1:8" ht="15.75">
      <c r="A320" s="18">
        <v>319</v>
      </c>
      <c r="B320" s="7" t="s">
        <v>353</v>
      </c>
      <c r="C320" s="12">
        <v>45337.537499999999</v>
      </c>
      <c r="D320" s="7" t="s">
        <v>8</v>
      </c>
      <c r="E320" s="7">
        <v>1</v>
      </c>
      <c r="F320" s="7" t="s">
        <v>29</v>
      </c>
      <c r="G320" s="19" t="s">
        <v>789</v>
      </c>
      <c r="H320" s="7" t="str" cm="1">
        <f t="array" ref="H320">_xlfn.IFS(Table1[[#This Row],[in_or_out]]="out", "Take_out",Table1[[#This Row],[in_or_out]]="in", "Dine_in", Table1[[#This Row],[in_or_out]]="","Unknown")</f>
        <v>Unknown</v>
      </c>
    </row>
    <row r="321" spans="1:8" ht="15.75">
      <c r="A321" s="18">
        <v>320</v>
      </c>
      <c r="B321" s="7" t="s">
        <v>354</v>
      </c>
      <c r="C321" s="12">
        <v>45337.541666666664</v>
      </c>
      <c r="D321" s="7" t="s">
        <v>21</v>
      </c>
      <c r="E321" s="7">
        <v>1</v>
      </c>
      <c r="F321" s="7" t="s">
        <v>137</v>
      </c>
      <c r="G321" s="19" t="s">
        <v>14</v>
      </c>
      <c r="H321" s="7" t="str" cm="1">
        <f t="array" ref="H321">_xlfn.IFS(Table1[[#This Row],[in_or_out]]="out", "Take_out",Table1[[#This Row],[in_or_out]]="in", "Dine_in", Table1[[#This Row],[in_or_out]]="","Unknown")</f>
        <v>Dine_in</v>
      </c>
    </row>
    <row r="322" spans="1:8" ht="15.75">
      <c r="A322" s="18">
        <v>321</v>
      </c>
      <c r="B322" s="7" t="s">
        <v>355</v>
      </c>
      <c r="C322" s="12">
        <v>45337.54583333333</v>
      </c>
      <c r="D322" s="7" t="s">
        <v>38</v>
      </c>
      <c r="E322" s="7">
        <v>1</v>
      </c>
      <c r="F322" s="7" t="s">
        <v>316</v>
      </c>
      <c r="G322" s="19" t="s">
        <v>10</v>
      </c>
      <c r="H322" s="7" t="str" cm="1">
        <f t="array" ref="H322">_xlfn.IFS(Table1[[#This Row],[in_or_out]]="out", "Take_out",Table1[[#This Row],[in_or_out]]="in", "Dine_in", Table1[[#This Row],[in_or_out]]="","Unknown")</f>
        <v>Take_out</v>
      </c>
    </row>
    <row r="323" spans="1:8" ht="15.75">
      <c r="A323" s="18">
        <v>322</v>
      </c>
      <c r="B323" s="7" t="s">
        <v>356</v>
      </c>
      <c r="C323" s="12">
        <v>45337.55</v>
      </c>
      <c r="D323" s="7" t="s">
        <v>67</v>
      </c>
      <c r="E323" s="7">
        <v>1</v>
      </c>
      <c r="F323" s="7" t="s">
        <v>318</v>
      </c>
      <c r="G323" s="19" t="s">
        <v>14</v>
      </c>
      <c r="H323" s="7" t="str" cm="1">
        <f t="array" ref="H323">_xlfn.IFS(Table1[[#This Row],[in_or_out]]="out", "Take_out",Table1[[#This Row],[in_or_out]]="in", "Dine_in", Table1[[#This Row],[in_or_out]]="","Unknown")</f>
        <v>Dine_in</v>
      </c>
    </row>
    <row r="324" spans="1:8" ht="15.75">
      <c r="A324" s="18">
        <v>323</v>
      </c>
      <c r="B324" s="7" t="s">
        <v>357</v>
      </c>
      <c r="C324" s="12">
        <v>45337.554166666669</v>
      </c>
      <c r="D324" s="7" t="s">
        <v>42</v>
      </c>
      <c r="E324" s="7">
        <v>1</v>
      </c>
      <c r="F324" s="7" t="s">
        <v>320</v>
      </c>
      <c r="G324" s="19" t="s">
        <v>10</v>
      </c>
      <c r="H324" s="7" t="str" cm="1">
        <f t="array" ref="H324">_xlfn.IFS(Table1[[#This Row],[in_or_out]]="out", "Take_out",Table1[[#This Row],[in_or_out]]="in", "Dine_in", Table1[[#This Row],[in_or_out]]="","Unknown")</f>
        <v>Take_out</v>
      </c>
    </row>
    <row r="325" spans="1:8" ht="15.75">
      <c r="A325" s="18">
        <v>324</v>
      </c>
      <c r="B325" s="7" t="s">
        <v>358</v>
      </c>
      <c r="C325" s="12">
        <v>45337.558333333334</v>
      </c>
      <c r="D325" s="7" t="s">
        <v>12</v>
      </c>
      <c r="E325" s="7">
        <v>1</v>
      </c>
      <c r="F325" s="7" t="s">
        <v>322</v>
      </c>
      <c r="G325" s="19" t="s">
        <v>14</v>
      </c>
      <c r="H325" s="7" t="str" cm="1">
        <f t="array" ref="H325">_xlfn.IFS(Table1[[#This Row],[in_or_out]]="out", "Take_out",Table1[[#This Row],[in_or_out]]="in", "Dine_in", Table1[[#This Row],[in_or_out]]="","Unknown")</f>
        <v>Dine_in</v>
      </c>
    </row>
    <row r="326" spans="1:8" ht="15.75">
      <c r="A326" s="18">
        <v>325</v>
      </c>
      <c r="B326" s="7" t="s">
        <v>359</v>
      </c>
      <c r="C326" s="12">
        <v>45337.5625</v>
      </c>
      <c r="D326" s="7" t="s">
        <v>24</v>
      </c>
      <c r="E326" s="7">
        <v>1</v>
      </c>
      <c r="F326" s="7" t="s">
        <v>360</v>
      </c>
      <c r="G326" s="19" t="s">
        <v>10</v>
      </c>
      <c r="H326" s="7" t="str" cm="1">
        <f t="array" ref="H326">_xlfn.IFS(Table1[[#This Row],[in_or_out]]="out", "Take_out",Table1[[#This Row],[in_or_out]]="in", "Dine_in", Table1[[#This Row],[in_or_out]]="","Unknown")</f>
        <v>Take_out</v>
      </c>
    </row>
    <row r="327" spans="1:8" ht="15.75">
      <c r="A327" s="18">
        <v>326</v>
      </c>
      <c r="B327" s="7" t="s">
        <v>361</v>
      </c>
      <c r="C327" s="12">
        <v>45337.566666666666</v>
      </c>
      <c r="D327" s="7" t="s">
        <v>48</v>
      </c>
      <c r="E327" s="7">
        <v>1</v>
      </c>
      <c r="F327" s="7" t="s">
        <v>362</v>
      </c>
      <c r="G327" s="19" t="s">
        <v>14</v>
      </c>
      <c r="H327" s="7" t="str" cm="1">
        <f t="array" ref="H327">_xlfn.IFS(Table1[[#This Row],[in_or_out]]="out", "Take_out",Table1[[#This Row],[in_or_out]]="in", "Dine_in", Table1[[#This Row],[in_or_out]]="","Unknown")</f>
        <v>Dine_in</v>
      </c>
    </row>
    <row r="328" spans="1:8" ht="15.75">
      <c r="A328" s="18">
        <v>327</v>
      </c>
      <c r="B328" s="7" t="s">
        <v>363</v>
      </c>
      <c r="C328" s="12">
        <v>45337.570833333331</v>
      </c>
      <c r="D328" s="7" t="s">
        <v>34</v>
      </c>
      <c r="E328" s="7">
        <v>1</v>
      </c>
      <c r="F328" s="7" t="s">
        <v>364</v>
      </c>
      <c r="G328" s="19" t="s">
        <v>10</v>
      </c>
      <c r="H328" s="7" t="str" cm="1">
        <f t="array" ref="H328">_xlfn.IFS(Table1[[#This Row],[in_or_out]]="out", "Take_out",Table1[[#This Row],[in_or_out]]="in", "Dine_in", Table1[[#This Row],[in_or_out]]="","Unknown")</f>
        <v>Take_out</v>
      </c>
    </row>
    <row r="329" spans="1:8" ht="15.75">
      <c r="A329" s="18">
        <v>328</v>
      </c>
      <c r="B329" s="7" t="s">
        <v>365</v>
      </c>
      <c r="C329" s="12">
        <v>45337.574999999997</v>
      </c>
      <c r="D329" s="7" t="s">
        <v>56</v>
      </c>
      <c r="E329" s="7">
        <v>1</v>
      </c>
      <c r="F329" s="7" t="s">
        <v>366</v>
      </c>
      <c r="G329" s="19" t="s">
        <v>14</v>
      </c>
      <c r="H329" s="7" t="str" cm="1">
        <f t="array" ref="H329">_xlfn.IFS(Table1[[#This Row],[in_or_out]]="out", "Take_out",Table1[[#This Row],[in_or_out]]="in", "Dine_in", Table1[[#This Row],[in_or_out]]="","Unknown")</f>
        <v>Dine_in</v>
      </c>
    </row>
    <row r="330" spans="1:8" ht="15.75">
      <c r="A330" s="18">
        <v>329</v>
      </c>
      <c r="B330" s="7" t="s">
        <v>365</v>
      </c>
      <c r="C330" s="12">
        <v>45337.574999999997</v>
      </c>
      <c r="D330" s="7" t="s">
        <v>142</v>
      </c>
      <c r="E330" s="7">
        <v>1</v>
      </c>
      <c r="F330" s="7" t="s">
        <v>366</v>
      </c>
      <c r="G330" s="19" t="s">
        <v>789</v>
      </c>
      <c r="H330" s="7" t="str" cm="1">
        <f t="array" ref="H330">_xlfn.IFS(Table1[[#This Row],[in_or_out]]="out", "Take_out",Table1[[#This Row],[in_or_out]]="in", "Dine_in", Table1[[#This Row],[in_or_out]]="","Unknown")</f>
        <v>Unknown</v>
      </c>
    </row>
    <row r="331" spans="1:8" ht="15.75">
      <c r="A331" s="18">
        <v>330</v>
      </c>
      <c r="B331" s="7" t="s">
        <v>367</v>
      </c>
      <c r="C331" s="12">
        <v>45337.57916666667</v>
      </c>
      <c r="D331" s="7" t="s">
        <v>50</v>
      </c>
      <c r="E331" s="7">
        <v>1</v>
      </c>
      <c r="F331" s="7" t="s">
        <v>368</v>
      </c>
      <c r="G331" s="19" t="s">
        <v>10</v>
      </c>
      <c r="H331" s="7" t="str" cm="1">
        <f t="array" ref="H331">_xlfn.IFS(Table1[[#This Row],[in_or_out]]="out", "Take_out",Table1[[#This Row],[in_or_out]]="in", "Dine_in", Table1[[#This Row],[in_or_out]]="","Unknown")</f>
        <v>Take_out</v>
      </c>
    </row>
    <row r="332" spans="1:8" ht="15.75">
      <c r="A332" s="18">
        <v>331</v>
      </c>
      <c r="B332" s="7" t="s">
        <v>369</v>
      </c>
      <c r="C332" s="12">
        <v>45337.583333333336</v>
      </c>
      <c r="D332" s="7" t="s">
        <v>32</v>
      </c>
      <c r="E332" s="7">
        <v>1</v>
      </c>
      <c r="F332" s="7" t="s">
        <v>370</v>
      </c>
      <c r="G332" s="19" t="s">
        <v>14</v>
      </c>
      <c r="H332" s="7" t="str" cm="1">
        <f t="array" ref="H332">_xlfn.IFS(Table1[[#This Row],[in_or_out]]="out", "Take_out",Table1[[#This Row],[in_or_out]]="in", "Dine_in", Table1[[#This Row],[in_or_out]]="","Unknown")</f>
        <v>Dine_in</v>
      </c>
    </row>
    <row r="333" spans="1:8" ht="15.75">
      <c r="A333" s="18">
        <v>332</v>
      </c>
      <c r="B333" s="7" t="s">
        <v>371</v>
      </c>
      <c r="C333" s="12">
        <v>45337.587500000001</v>
      </c>
      <c r="D333" s="7" t="s">
        <v>54</v>
      </c>
      <c r="E333" s="7">
        <v>1</v>
      </c>
      <c r="F333" s="7" t="s">
        <v>372</v>
      </c>
      <c r="G333" s="19" t="s">
        <v>10</v>
      </c>
      <c r="H333" s="7" t="str" cm="1">
        <f t="array" ref="H333">_xlfn.IFS(Table1[[#This Row],[in_or_out]]="out", "Take_out",Table1[[#This Row],[in_or_out]]="in", "Dine_in", Table1[[#This Row],[in_or_out]]="","Unknown")</f>
        <v>Take_out</v>
      </c>
    </row>
    <row r="334" spans="1:8" ht="15.75">
      <c r="A334" s="18">
        <v>333</v>
      </c>
      <c r="B334" s="7" t="s">
        <v>373</v>
      </c>
      <c r="C334" s="12">
        <v>45337.591666666667</v>
      </c>
      <c r="D334" s="7" t="s">
        <v>52</v>
      </c>
      <c r="E334" s="7">
        <v>1</v>
      </c>
      <c r="F334" s="7" t="s">
        <v>374</v>
      </c>
      <c r="G334" s="19" t="s">
        <v>14</v>
      </c>
      <c r="H334" s="7" t="str" cm="1">
        <f t="array" ref="H334">_xlfn.IFS(Table1[[#This Row],[in_or_out]]="out", "Take_out",Table1[[#This Row],[in_or_out]]="in", "Dine_in", Table1[[#This Row],[in_or_out]]="","Unknown")</f>
        <v>Dine_in</v>
      </c>
    </row>
    <row r="335" spans="1:8" ht="15.75">
      <c r="A335" s="18">
        <v>334</v>
      </c>
      <c r="B335" s="7" t="s">
        <v>375</v>
      </c>
      <c r="C335" s="12">
        <v>45337.595833333333</v>
      </c>
      <c r="D335" s="7" t="s">
        <v>153</v>
      </c>
      <c r="E335" s="7">
        <v>1</v>
      </c>
      <c r="F335" s="7" t="s">
        <v>289</v>
      </c>
      <c r="G335" s="19" t="s">
        <v>10</v>
      </c>
      <c r="H335" s="7" t="str" cm="1">
        <f t="array" ref="H335">_xlfn.IFS(Table1[[#This Row],[in_or_out]]="out", "Take_out",Table1[[#This Row],[in_or_out]]="in", "Dine_in", Table1[[#This Row],[in_or_out]]="","Unknown")</f>
        <v>Take_out</v>
      </c>
    </row>
    <row r="336" spans="1:8" ht="15.75">
      <c r="A336" s="18">
        <v>335</v>
      </c>
      <c r="B336" s="7" t="s">
        <v>376</v>
      </c>
      <c r="C336" s="12">
        <v>45337.599999999999</v>
      </c>
      <c r="D336" s="7" t="s">
        <v>26</v>
      </c>
      <c r="E336" s="7">
        <v>1</v>
      </c>
      <c r="F336" s="7" t="s">
        <v>377</v>
      </c>
      <c r="G336" s="19" t="s">
        <v>14</v>
      </c>
      <c r="H336" s="7" t="str" cm="1">
        <f t="array" ref="H336">_xlfn.IFS(Table1[[#This Row],[in_or_out]]="out", "Take_out",Table1[[#This Row],[in_or_out]]="in", "Dine_in", Table1[[#This Row],[in_or_out]]="","Unknown")</f>
        <v>Dine_in</v>
      </c>
    </row>
    <row r="337" spans="1:8" ht="15.75">
      <c r="A337" s="18">
        <v>336</v>
      </c>
      <c r="B337" s="7" t="s">
        <v>378</v>
      </c>
      <c r="C337" s="12">
        <v>45337.604166666664</v>
      </c>
      <c r="D337" s="7" t="s">
        <v>166</v>
      </c>
      <c r="E337" s="7">
        <v>1</v>
      </c>
      <c r="F337" s="7" t="s">
        <v>379</v>
      </c>
      <c r="G337" s="19" t="s">
        <v>10</v>
      </c>
      <c r="H337" s="7" t="str" cm="1">
        <f t="array" ref="H337">_xlfn.IFS(Table1[[#This Row],[in_or_out]]="out", "Take_out",Table1[[#This Row],[in_or_out]]="in", "Dine_in", Table1[[#This Row],[in_or_out]]="","Unknown")</f>
        <v>Take_out</v>
      </c>
    </row>
    <row r="338" spans="1:8" ht="15.75">
      <c r="A338" s="18">
        <v>337</v>
      </c>
      <c r="B338" s="7" t="s">
        <v>380</v>
      </c>
      <c r="C338" s="12">
        <v>45337.60833333333</v>
      </c>
      <c r="D338" s="7" t="s">
        <v>8</v>
      </c>
      <c r="E338" s="7">
        <v>1</v>
      </c>
      <c r="F338" s="7" t="s">
        <v>381</v>
      </c>
      <c r="G338" s="19" t="s">
        <v>14</v>
      </c>
      <c r="H338" s="7" t="str" cm="1">
        <f t="array" ref="H338">_xlfn.IFS(Table1[[#This Row],[in_or_out]]="out", "Take_out",Table1[[#This Row],[in_or_out]]="in", "Dine_in", Table1[[#This Row],[in_or_out]]="","Unknown")</f>
        <v>Dine_in</v>
      </c>
    </row>
    <row r="339" spans="1:8" ht="15.75">
      <c r="A339" s="18">
        <v>338</v>
      </c>
      <c r="B339" s="7" t="s">
        <v>382</v>
      </c>
      <c r="C339" s="12">
        <v>45337.619444444441</v>
      </c>
      <c r="D339" s="7" t="s">
        <v>59</v>
      </c>
      <c r="E339" s="7">
        <v>1</v>
      </c>
      <c r="F339" s="7" t="s">
        <v>339</v>
      </c>
      <c r="G339" s="19" t="s">
        <v>10</v>
      </c>
      <c r="H339" s="7" t="str" cm="1">
        <f t="array" ref="H339">_xlfn.IFS(Table1[[#This Row],[in_or_out]]="out", "Take_out",Table1[[#This Row],[in_or_out]]="in", "Dine_in", Table1[[#This Row],[in_or_out]]="","Unknown")</f>
        <v>Take_out</v>
      </c>
    </row>
    <row r="340" spans="1:8" ht="15.75">
      <c r="A340" s="18">
        <v>339</v>
      </c>
      <c r="B340" s="7" t="s">
        <v>383</v>
      </c>
      <c r="C340" s="12">
        <v>45337.630555555559</v>
      </c>
      <c r="D340" s="7" t="s">
        <v>67</v>
      </c>
      <c r="E340" s="7">
        <v>1</v>
      </c>
      <c r="F340" s="7" t="s">
        <v>384</v>
      </c>
      <c r="G340" s="19" t="s">
        <v>14</v>
      </c>
      <c r="H340" s="7" t="str" cm="1">
        <f t="array" ref="H340">_xlfn.IFS(Table1[[#This Row],[in_or_out]]="out", "Take_out",Table1[[#This Row],[in_or_out]]="in", "Dine_in", Table1[[#This Row],[in_or_out]]="","Unknown")</f>
        <v>Dine_in</v>
      </c>
    </row>
    <row r="341" spans="1:8" ht="15.75">
      <c r="A341" s="18">
        <v>340</v>
      </c>
      <c r="B341" s="7" t="s">
        <v>385</v>
      </c>
      <c r="C341" s="12">
        <v>45337.64166666667</v>
      </c>
      <c r="D341" s="7" t="s">
        <v>38</v>
      </c>
      <c r="E341" s="7">
        <v>1</v>
      </c>
      <c r="F341" s="7" t="s">
        <v>386</v>
      </c>
      <c r="G341" s="19" t="s">
        <v>10</v>
      </c>
      <c r="H341" s="7" t="str" cm="1">
        <f t="array" ref="H341">_xlfn.IFS(Table1[[#This Row],[in_or_out]]="out", "Take_out",Table1[[#This Row],[in_or_out]]="in", "Dine_in", Table1[[#This Row],[in_or_out]]="","Unknown")</f>
        <v>Take_out</v>
      </c>
    </row>
    <row r="342" spans="1:8" ht="15.75">
      <c r="A342" s="18">
        <v>341</v>
      </c>
      <c r="B342" s="7" t="s">
        <v>387</v>
      </c>
      <c r="C342" s="12">
        <v>45337.652777777781</v>
      </c>
      <c r="D342" s="7" t="s">
        <v>21</v>
      </c>
      <c r="E342" s="7">
        <v>1</v>
      </c>
      <c r="F342" s="7" t="s">
        <v>345</v>
      </c>
      <c r="G342" s="19" t="s">
        <v>14</v>
      </c>
      <c r="H342" s="7" t="str" cm="1">
        <f t="array" ref="H342">_xlfn.IFS(Table1[[#This Row],[in_or_out]]="out", "Take_out",Table1[[#This Row],[in_or_out]]="in", "Dine_in", Table1[[#This Row],[in_or_out]]="","Unknown")</f>
        <v>Dine_in</v>
      </c>
    </row>
    <row r="343" spans="1:8" ht="15.75">
      <c r="A343" s="18">
        <v>342</v>
      </c>
      <c r="B343" s="7" t="s">
        <v>388</v>
      </c>
      <c r="C343" s="12">
        <v>45337.663888888892</v>
      </c>
      <c r="D343" s="7" t="s">
        <v>28</v>
      </c>
      <c r="E343" s="7">
        <v>1</v>
      </c>
      <c r="F343" s="7" t="s">
        <v>389</v>
      </c>
      <c r="G343" s="19" t="s">
        <v>10</v>
      </c>
      <c r="H343" s="7" t="str" cm="1">
        <f t="array" ref="H343">_xlfn.IFS(Table1[[#This Row],[in_or_out]]="out", "Take_out",Table1[[#This Row],[in_or_out]]="in", "Dine_in", Table1[[#This Row],[in_or_out]]="","Unknown")</f>
        <v>Take_out</v>
      </c>
    </row>
    <row r="344" spans="1:8" ht="15.75">
      <c r="A344" s="18">
        <v>343</v>
      </c>
      <c r="B344" s="7" t="s">
        <v>390</v>
      </c>
      <c r="C344" s="12">
        <v>45337.675000000003</v>
      </c>
      <c r="D344" s="7" t="s">
        <v>30</v>
      </c>
      <c r="E344" s="7">
        <v>1</v>
      </c>
      <c r="F344" s="7" t="s">
        <v>391</v>
      </c>
      <c r="G344" s="19" t="s">
        <v>14</v>
      </c>
      <c r="H344" s="7" t="str" cm="1">
        <f t="array" ref="H344">_xlfn.IFS(Table1[[#This Row],[in_or_out]]="out", "Take_out",Table1[[#This Row],[in_or_out]]="in", "Dine_in", Table1[[#This Row],[in_or_out]]="","Unknown")</f>
        <v>Dine_in</v>
      </c>
    </row>
    <row r="345" spans="1:8" ht="15.75">
      <c r="A345" s="18">
        <v>344</v>
      </c>
      <c r="B345" s="7" t="s">
        <v>392</v>
      </c>
      <c r="C345" s="12">
        <v>45337.686111111114</v>
      </c>
      <c r="D345" s="7" t="s">
        <v>12</v>
      </c>
      <c r="E345" s="7">
        <v>1</v>
      </c>
      <c r="F345" s="7" t="s">
        <v>393</v>
      </c>
      <c r="G345" s="19" t="s">
        <v>10</v>
      </c>
      <c r="H345" s="7" t="str" cm="1">
        <f t="array" ref="H345">_xlfn.IFS(Table1[[#This Row],[in_or_out]]="out", "Take_out",Table1[[#This Row],[in_or_out]]="in", "Dine_in", Table1[[#This Row],[in_or_out]]="","Unknown")</f>
        <v>Take_out</v>
      </c>
    </row>
    <row r="346" spans="1:8" ht="15.75">
      <c r="A346" s="18">
        <v>345</v>
      </c>
      <c r="B346" s="7" t="s">
        <v>394</v>
      </c>
      <c r="C346" s="12">
        <v>45337.697222222225</v>
      </c>
      <c r="D346" s="7" t="s">
        <v>153</v>
      </c>
      <c r="E346" s="7">
        <v>1</v>
      </c>
      <c r="F346" s="7" t="s">
        <v>37</v>
      </c>
      <c r="G346" s="19" t="s">
        <v>14</v>
      </c>
      <c r="H346" s="7" t="str" cm="1">
        <f t="array" ref="H346">_xlfn.IFS(Table1[[#This Row],[in_or_out]]="out", "Take_out",Table1[[#This Row],[in_or_out]]="in", "Dine_in", Table1[[#This Row],[in_or_out]]="","Unknown")</f>
        <v>Dine_in</v>
      </c>
    </row>
    <row r="347" spans="1:8" ht="15.75">
      <c r="A347" s="18">
        <v>346</v>
      </c>
      <c r="B347" s="7" t="s">
        <v>395</v>
      </c>
      <c r="C347" s="12">
        <v>45337.708333333336</v>
      </c>
      <c r="D347" s="7" t="s">
        <v>48</v>
      </c>
      <c r="E347" s="7">
        <v>1</v>
      </c>
      <c r="F347" s="7" t="s">
        <v>396</v>
      </c>
      <c r="G347" s="19" t="s">
        <v>10</v>
      </c>
      <c r="H347" s="7" t="str" cm="1">
        <f t="array" ref="H347">_xlfn.IFS(Table1[[#This Row],[in_or_out]]="out", "Take_out",Table1[[#This Row],[in_or_out]]="in", "Dine_in", Table1[[#This Row],[in_or_out]]="","Unknown")</f>
        <v>Take_out</v>
      </c>
    </row>
    <row r="348" spans="1:8" ht="15.75">
      <c r="A348" s="18">
        <v>347</v>
      </c>
      <c r="B348" s="7" t="s">
        <v>397</v>
      </c>
      <c r="C348" s="12">
        <v>45338.297222222223</v>
      </c>
      <c r="D348" s="7" t="s">
        <v>28</v>
      </c>
      <c r="E348" s="7">
        <v>1</v>
      </c>
      <c r="F348" s="7" t="s">
        <v>398</v>
      </c>
      <c r="G348" s="19" t="s">
        <v>10</v>
      </c>
      <c r="H348" s="7" t="str" cm="1">
        <f t="array" ref="H348">_xlfn.IFS(Table1[[#This Row],[in_or_out]]="out", "Take_out",Table1[[#This Row],[in_or_out]]="in", "Dine_in", Table1[[#This Row],[in_or_out]]="","Unknown")</f>
        <v>Take_out</v>
      </c>
    </row>
    <row r="349" spans="1:8" ht="15.75">
      <c r="A349" s="18">
        <v>348</v>
      </c>
      <c r="B349" s="7" t="s">
        <v>399</v>
      </c>
      <c r="C349" s="12">
        <v>45338.302083333336</v>
      </c>
      <c r="D349" s="7" t="s">
        <v>52</v>
      </c>
      <c r="E349" s="7">
        <v>1</v>
      </c>
      <c r="F349" s="7" t="s">
        <v>303</v>
      </c>
      <c r="G349" s="19" t="s">
        <v>14</v>
      </c>
      <c r="H349" s="7" t="str" cm="1">
        <f t="array" ref="H349">_xlfn.IFS(Table1[[#This Row],[in_or_out]]="out", "Take_out",Table1[[#This Row],[in_or_out]]="in", "Dine_in", Table1[[#This Row],[in_or_out]]="","Unknown")</f>
        <v>Dine_in</v>
      </c>
    </row>
    <row r="350" spans="1:8" ht="15.75">
      <c r="A350" s="18">
        <v>349</v>
      </c>
      <c r="B350" s="7" t="s">
        <v>400</v>
      </c>
      <c r="C350" s="12">
        <v>45338.306944444441</v>
      </c>
      <c r="D350" s="7" t="s">
        <v>34</v>
      </c>
      <c r="E350" s="7">
        <v>1</v>
      </c>
      <c r="F350" s="7" t="s">
        <v>401</v>
      </c>
      <c r="G350" s="19" t="s">
        <v>789</v>
      </c>
      <c r="H350" s="7" t="str" cm="1">
        <f t="array" ref="H350">_xlfn.IFS(Table1[[#This Row],[in_or_out]]="out", "Take_out",Table1[[#This Row],[in_or_out]]="in", "Dine_in", Table1[[#This Row],[in_or_out]]="","Unknown")</f>
        <v>Unknown</v>
      </c>
    </row>
    <row r="351" spans="1:8" ht="15.75">
      <c r="A351" s="18">
        <v>350</v>
      </c>
      <c r="B351" s="7" t="s">
        <v>400</v>
      </c>
      <c r="C351" s="12">
        <v>45338.306944444441</v>
      </c>
      <c r="D351" s="7" t="s">
        <v>54</v>
      </c>
      <c r="E351" s="7">
        <v>1</v>
      </c>
      <c r="F351" s="7" t="s">
        <v>401</v>
      </c>
      <c r="G351" s="19" t="s">
        <v>10</v>
      </c>
      <c r="H351" s="7" t="str" cm="1">
        <f t="array" ref="H351">_xlfn.IFS(Table1[[#This Row],[in_or_out]]="out", "Take_out",Table1[[#This Row],[in_or_out]]="in", "Dine_in", Table1[[#This Row],[in_or_out]]="","Unknown")</f>
        <v>Take_out</v>
      </c>
    </row>
    <row r="352" spans="1:8" ht="15.75">
      <c r="A352" s="18">
        <v>351</v>
      </c>
      <c r="B352" s="7" t="s">
        <v>402</v>
      </c>
      <c r="C352" s="12">
        <v>45338.311805555553</v>
      </c>
      <c r="D352" s="7" t="s">
        <v>56</v>
      </c>
      <c r="E352" s="7">
        <v>1</v>
      </c>
      <c r="F352" s="7" t="s">
        <v>403</v>
      </c>
      <c r="G352" s="19" t="s">
        <v>14</v>
      </c>
      <c r="H352" s="7" t="str" cm="1">
        <f t="array" ref="H352">_xlfn.IFS(Table1[[#This Row],[in_or_out]]="out", "Take_out",Table1[[#This Row],[in_or_out]]="in", "Dine_in", Table1[[#This Row],[in_or_out]]="","Unknown")</f>
        <v>Dine_in</v>
      </c>
    </row>
    <row r="353" spans="1:8" ht="15.75">
      <c r="A353" s="18">
        <v>352</v>
      </c>
      <c r="B353" s="7" t="s">
        <v>404</v>
      </c>
      <c r="C353" s="12">
        <v>45338.316666666666</v>
      </c>
      <c r="D353" s="7" t="s">
        <v>153</v>
      </c>
      <c r="E353" s="7">
        <v>1</v>
      </c>
      <c r="F353" s="7" t="s">
        <v>332</v>
      </c>
      <c r="G353" s="19" t="s">
        <v>10</v>
      </c>
      <c r="H353" s="7" t="str" cm="1">
        <f t="array" ref="H353">_xlfn.IFS(Table1[[#This Row],[in_or_out]]="out", "Take_out",Table1[[#This Row],[in_or_out]]="in", "Dine_in", Table1[[#This Row],[in_or_out]]="","Unknown")</f>
        <v>Take_out</v>
      </c>
    </row>
    <row r="354" spans="1:8" ht="15.75">
      <c r="A354" s="18">
        <v>353</v>
      </c>
      <c r="B354" s="7" t="s">
        <v>405</v>
      </c>
      <c r="C354" s="12">
        <v>45338.321527777778</v>
      </c>
      <c r="D354" s="7" t="s">
        <v>38</v>
      </c>
      <c r="E354" s="7">
        <v>1</v>
      </c>
      <c r="F354" s="7" t="s">
        <v>406</v>
      </c>
      <c r="G354" s="19" t="s">
        <v>14</v>
      </c>
      <c r="H354" s="7" t="str" cm="1">
        <f t="array" ref="H354">_xlfn.IFS(Table1[[#This Row],[in_or_out]]="out", "Take_out",Table1[[#This Row],[in_or_out]]="in", "Dine_in", Table1[[#This Row],[in_or_out]]="","Unknown")</f>
        <v>Dine_in</v>
      </c>
    </row>
    <row r="355" spans="1:8" ht="15.75">
      <c r="A355" s="18">
        <v>354</v>
      </c>
      <c r="B355" s="7" t="s">
        <v>407</v>
      </c>
      <c r="C355" s="12">
        <v>45338.32708333333</v>
      </c>
      <c r="D355" s="7" t="s">
        <v>89</v>
      </c>
      <c r="E355" s="7">
        <v>1</v>
      </c>
      <c r="F355" s="7" t="s">
        <v>336</v>
      </c>
      <c r="G355" s="19" t="s">
        <v>10</v>
      </c>
      <c r="H355" s="7" t="str" cm="1">
        <f t="array" ref="H355">_xlfn.IFS(Table1[[#This Row],[in_or_out]]="out", "Take_out",Table1[[#This Row],[in_or_out]]="in", "Dine_in", Table1[[#This Row],[in_or_out]]="","Unknown")</f>
        <v>Take_out</v>
      </c>
    </row>
    <row r="356" spans="1:8" ht="15.75">
      <c r="A356" s="18">
        <v>355</v>
      </c>
      <c r="B356" s="7" t="s">
        <v>408</v>
      </c>
      <c r="C356" s="12">
        <v>45338.331944444442</v>
      </c>
      <c r="D356" s="7" t="s">
        <v>24</v>
      </c>
      <c r="E356" s="7">
        <v>1</v>
      </c>
      <c r="F356" s="7" t="s">
        <v>409</v>
      </c>
      <c r="G356" s="19" t="s">
        <v>14</v>
      </c>
      <c r="H356" s="7" t="str" cm="1">
        <f t="array" ref="H356">_xlfn.IFS(Table1[[#This Row],[in_or_out]]="out", "Take_out",Table1[[#This Row],[in_or_out]]="in", "Dine_in", Table1[[#This Row],[in_or_out]]="","Unknown")</f>
        <v>Dine_in</v>
      </c>
    </row>
    <row r="357" spans="1:8" ht="15.75">
      <c r="A357" s="18">
        <v>356</v>
      </c>
      <c r="B357" s="7" t="s">
        <v>408</v>
      </c>
      <c r="C357" s="12">
        <v>45338.331944444442</v>
      </c>
      <c r="D357" s="7" t="s">
        <v>32</v>
      </c>
      <c r="E357" s="7">
        <v>1</v>
      </c>
      <c r="F357" s="7" t="s">
        <v>409</v>
      </c>
      <c r="G357" s="19" t="s">
        <v>789</v>
      </c>
      <c r="H357" s="7" t="str" cm="1">
        <f t="array" ref="H357">_xlfn.IFS(Table1[[#This Row],[in_or_out]]="out", "Take_out",Table1[[#This Row],[in_or_out]]="in", "Dine_in", Table1[[#This Row],[in_or_out]]="","Unknown")</f>
        <v>Unknown</v>
      </c>
    </row>
    <row r="358" spans="1:8" ht="15.75">
      <c r="A358" s="18">
        <v>357</v>
      </c>
      <c r="B358" s="7" t="s">
        <v>410</v>
      </c>
      <c r="C358" s="12">
        <v>45338.336805555555</v>
      </c>
      <c r="D358" s="7" t="s">
        <v>18</v>
      </c>
      <c r="E358" s="7">
        <v>1</v>
      </c>
      <c r="F358" s="7" t="s">
        <v>411</v>
      </c>
      <c r="G358" s="19" t="s">
        <v>10</v>
      </c>
      <c r="H358" s="7" t="str" cm="1">
        <f t="array" ref="H358">_xlfn.IFS(Table1[[#This Row],[in_or_out]]="out", "Take_out",Table1[[#This Row],[in_or_out]]="in", "Dine_in", Table1[[#This Row],[in_or_out]]="","Unknown")</f>
        <v>Take_out</v>
      </c>
    </row>
    <row r="359" spans="1:8" ht="15.75">
      <c r="A359" s="18">
        <v>358</v>
      </c>
      <c r="B359" s="7" t="s">
        <v>412</v>
      </c>
      <c r="C359" s="12">
        <v>45338.341666666667</v>
      </c>
      <c r="D359" s="7" t="s">
        <v>36</v>
      </c>
      <c r="E359" s="7">
        <v>1</v>
      </c>
      <c r="F359" s="7" t="s">
        <v>413</v>
      </c>
      <c r="G359" s="19" t="s">
        <v>14</v>
      </c>
      <c r="H359" s="7" t="str" cm="1">
        <f t="array" ref="H359">_xlfn.IFS(Table1[[#This Row],[in_or_out]]="out", "Take_out",Table1[[#This Row],[in_or_out]]="in", "Dine_in", Table1[[#This Row],[in_or_out]]="","Unknown")</f>
        <v>Dine_in</v>
      </c>
    </row>
    <row r="360" spans="1:8" ht="15.75">
      <c r="A360" s="18">
        <v>359</v>
      </c>
      <c r="B360" s="7" t="s">
        <v>414</v>
      </c>
      <c r="C360" s="12">
        <v>45338.34652777778</v>
      </c>
      <c r="D360" s="7" t="s">
        <v>48</v>
      </c>
      <c r="E360" s="7">
        <v>1</v>
      </c>
      <c r="F360" s="7" t="s">
        <v>415</v>
      </c>
      <c r="G360" s="19" t="s">
        <v>10</v>
      </c>
      <c r="H360" s="7" t="str" cm="1">
        <f t="array" ref="H360">_xlfn.IFS(Table1[[#This Row],[in_or_out]]="out", "Take_out",Table1[[#This Row],[in_or_out]]="in", "Dine_in", Table1[[#This Row],[in_or_out]]="","Unknown")</f>
        <v>Take_out</v>
      </c>
    </row>
    <row r="361" spans="1:8" ht="15.75">
      <c r="A361" s="18">
        <v>360</v>
      </c>
      <c r="B361" s="7" t="s">
        <v>416</v>
      </c>
      <c r="C361" s="12">
        <v>45338.351388888892</v>
      </c>
      <c r="D361" s="7" t="s">
        <v>42</v>
      </c>
      <c r="E361" s="7">
        <v>1</v>
      </c>
      <c r="F361" s="7" t="s">
        <v>417</v>
      </c>
      <c r="G361" s="19" t="s">
        <v>14</v>
      </c>
      <c r="H361" s="7" t="str" cm="1">
        <f t="array" ref="H361">_xlfn.IFS(Table1[[#This Row],[in_or_out]]="out", "Take_out",Table1[[#This Row],[in_or_out]]="in", "Dine_in", Table1[[#This Row],[in_or_out]]="","Unknown")</f>
        <v>Dine_in</v>
      </c>
    </row>
    <row r="362" spans="1:8" ht="15.75">
      <c r="A362" s="18">
        <v>361</v>
      </c>
      <c r="B362" s="7" t="s">
        <v>416</v>
      </c>
      <c r="C362" s="12">
        <v>45338.351388888892</v>
      </c>
      <c r="D362" s="7" t="s">
        <v>30</v>
      </c>
      <c r="E362" s="7">
        <v>1</v>
      </c>
      <c r="F362" s="7" t="s">
        <v>417</v>
      </c>
      <c r="G362" s="19" t="s">
        <v>789</v>
      </c>
      <c r="H362" s="7" t="str" cm="1">
        <f t="array" ref="H362">_xlfn.IFS(Table1[[#This Row],[in_or_out]]="out", "Take_out",Table1[[#This Row],[in_or_out]]="in", "Dine_in", Table1[[#This Row],[in_or_out]]="","Unknown")</f>
        <v>Unknown</v>
      </c>
    </row>
    <row r="363" spans="1:8" ht="15.75">
      <c r="A363" s="18">
        <v>362</v>
      </c>
      <c r="B363" s="7" t="s">
        <v>418</v>
      </c>
      <c r="C363" s="12">
        <v>45338.356249999997</v>
      </c>
      <c r="D363" s="7" t="s">
        <v>45</v>
      </c>
      <c r="E363" s="7">
        <v>1</v>
      </c>
      <c r="F363" s="7" t="s">
        <v>419</v>
      </c>
      <c r="G363" s="19" t="s">
        <v>10</v>
      </c>
      <c r="H363" s="7" t="str" cm="1">
        <f t="array" ref="H363">_xlfn.IFS(Table1[[#This Row],[in_or_out]]="out", "Take_out",Table1[[#This Row],[in_or_out]]="in", "Dine_in", Table1[[#This Row],[in_or_out]]="","Unknown")</f>
        <v>Take_out</v>
      </c>
    </row>
    <row r="364" spans="1:8" ht="15.75">
      <c r="A364" s="18">
        <v>363</v>
      </c>
      <c r="B364" s="7" t="s">
        <v>420</v>
      </c>
      <c r="C364" s="12">
        <v>45338.361111111109</v>
      </c>
      <c r="D364" s="7" t="s">
        <v>110</v>
      </c>
      <c r="E364" s="7">
        <v>1</v>
      </c>
      <c r="F364" s="7" t="s">
        <v>307</v>
      </c>
      <c r="G364" s="19" t="s">
        <v>14</v>
      </c>
      <c r="H364" s="7" t="str" cm="1">
        <f t="array" ref="H364">_xlfn.IFS(Table1[[#This Row],[in_or_out]]="out", "Take_out",Table1[[#This Row],[in_or_out]]="in", "Dine_in", Table1[[#This Row],[in_or_out]]="","Unknown")</f>
        <v>Dine_in</v>
      </c>
    </row>
    <row r="365" spans="1:8" ht="15.75">
      <c r="A365" s="18">
        <v>364</v>
      </c>
      <c r="B365" s="7" t="s">
        <v>421</v>
      </c>
      <c r="C365" s="12">
        <v>45338.366666666669</v>
      </c>
      <c r="D365" s="7" t="s">
        <v>160</v>
      </c>
      <c r="E365" s="7">
        <v>1</v>
      </c>
      <c r="F365" s="7" t="s">
        <v>309</v>
      </c>
      <c r="G365" s="19" t="s">
        <v>10</v>
      </c>
      <c r="H365" s="7" t="str" cm="1">
        <f t="array" ref="H365">_xlfn.IFS(Table1[[#This Row],[in_or_out]]="out", "Take_out",Table1[[#This Row],[in_or_out]]="in", "Dine_in", Table1[[#This Row],[in_or_out]]="","Unknown")</f>
        <v>Take_out</v>
      </c>
    </row>
    <row r="366" spans="1:8" ht="15.75">
      <c r="A366" s="18">
        <v>365</v>
      </c>
      <c r="B366" s="7" t="s">
        <v>422</v>
      </c>
      <c r="C366" s="12">
        <v>45338.371527777781</v>
      </c>
      <c r="D366" s="7" t="s">
        <v>123</v>
      </c>
      <c r="E366" s="7">
        <v>1</v>
      </c>
      <c r="F366" s="7" t="s">
        <v>37</v>
      </c>
      <c r="G366" s="19" t="s">
        <v>14</v>
      </c>
      <c r="H366" s="7" t="str" cm="1">
        <f t="array" ref="H366">_xlfn.IFS(Table1[[#This Row],[in_or_out]]="out", "Take_out",Table1[[#This Row],[in_or_out]]="in", "Dine_in", Table1[[#This Row],[in_or_out]]="","Unknown")</f>
        <v>Dine_in</v>
      </c>
    </row>
    <row r="367" spans="1:8" ht="15.75">
      <c r="A367" s="18">
        <v>366</v>
      </c>
      <c r="B367" s="7" t="s">
        <v>423</v>
      </c>
      <c r="C367" s="12">
        <v>45338.376388888886</v>
      </c>
      <c r="D367" s="7" t="s">
        <v>8</v>
      </c>
      <c r="E367" s="7">
        <v>1</v>
      </c>
      <c r="F367" s="7" t="s">
        <v>396</v>
      </c>
      <c r="G367" s="19" t="s">
        <v>10</v>
      </c>
      <c r="H367" s="7" t="str" cm="1">
        <f t="array" ref="H367">_xlfn.IFS(Table1[[#This Row],[in_or_out]]="out", "Take_out",Table1[[#This Row],[in_or_out]]="in", "Dine_in", Table1[[#This Row],[in_or_out]]="","Unknown")</f>
        <v>Take_out</v>
      </c>
    </row>
    <row r="368" spans="1:8" ht="15.75">
      <c r="A368" s="18">
        <v>367</v>
      </c>
      <c r="B368" s="7" t="s">
        <v>424</v>
      </c>
      <c r="C368" s="12">
        <v>45338.381249999999</v>
      </c>
      <c r="D368" s="7" t="s">
        <v>59</v>
      </c>
      <c r="E368" s="7">
        <v>1</v>
      </c>
      <c r="F368" s="7" t="s">
        <v>314</v>
      </c>
      <c r="G368" s="19" t="s">
        <v>14</v>
      </c>
      <c r="H368" s="7" t="str" cm="1">
        <f t="array" ref="H368">_xlfn.IFS(Table1[[#This Row],[in_or_out]]="out", "Take_out",Table1[[#This Row],[in_or_out]]="in", "Dine_in", Table1[[#This Row],[in_or_out]]="","Unknown")</f>
        <v>Dine_in</v>
      </c>
    </row>
    <row r="369" spans="1:8" ht="15.75">
      <c r="A369" s="18">
        <v>368</v>
      </c>
      <c r="B369" s="7" t="s">
        <v>424</v>
      </c>
      <c r="C369" s="12">
        <v>45338.381249999999</v>
      </c>
      <c r="D369" s="7" t="s">
        <v>12</v>
      </c>
      <c r="E369" s="7">
        <v>1</v>
      </c>
      <c r="F369" s="7" t="s">
        <v>314</v>
      </c>
      <c r="G369" s="19" t="s">
        <v>789</v>
      </c>
      <c r="H369" s="7" t="str" cm="1">
        <f t="array" ref="H369">_xlfn.IFS(Table1[[#This Row],[in_or_out]]="out", "Take_out",Table1[[#This Row],[in_or_out]]="in", "Dine_in", Table1[[#This Row],[in_or_out]]="","Unknown")</f>
        <v>Unknown</v>
      </c>
    </row>
    <row r="370" spans="1:8" ht="15.75">
      <c r="A370" s="18">
        <v>369</v>
      </c>
      <c r="B370" s="7" t="s">
        <v>425</v>
      </c>
      <c r="C370" s="12">
        <v>45338.386111111111</v>
      </c>
      <c r="D370" s="7" t="s">
        <v>67</v>
      </c>
      <c r="E370" s="7">
        <v>1</v>
      </c>
      <c r="F370" s="7" t="s">
        <v>316</v>
      </c>
      <c r="G370" s="19" t="s">
        <v>10</v>
      </c>
      <c r="H370" s="7" t="str" cm="1">
        <f t="array" ref="H370">_xlfn.IFS(Table1[[#This Row],[in_or_out]]="out", "Take_out",Table1[[#This Row],[in_or_out]]="in", "Dine_in", Table1[[#This Row],[in_or_out]]="","Unknown")</f>
        <v>Take_out</v>
      </c>
    </row>
    <row r="371" spans="1:8" ht="15.75">
      <c r="A371" s="18">
        <v>370</v>
      </c>
      <c r="B371" s="7" t="s">
        <v>426</v>
      </c>
      <c r="C371" s="12">
        <v>45338.390972222223</v>
      </c>
      <c r="D371" s="7" t="s">
        <v>21</v>
      </c>
      <c r="E371" s="7">
        <v>1</v>
      </c>
      <c r="F371" s="7" t="s">
        <v>427</v>
      </c>
      <c r="G371" s="19" t="s">
        <v>14</v>
      </c>
      <c r="H371" s="7" t="str" cm="1">
        <f t="array" ref="H371">_xlfn.IFS(Table1[[#This Row],[in_or_out]]="out", "Take_out",Table1[[#This Row],[in_or_out]]="in", "Dine_in", Table1[[#This Row],[in_or_out]]="","Unknown")</f>
        <v>Dine_in</v>
      </c>
    </row>
    <row r="372" spans="1:8" ht="15.75">
      <c r="A372" s="18">
        <v>371</v>
      </c>
      <c r="B372" s="7" t="s">
        <v>428</v>
      </c>
      <c r="C372" s="12">
        <v>45338.395833333336</v>
      </c>
      <c r="D372" s="7" t="s">
        <v>50</v>
      </c>
      <c r="E372" s="7">
        <v>1</v>
      </c>
      <c r="F372" s="7" t="s">
        <v>320</v>
      </c>
      <c r="G372" s="19" t="s">
        <v>10</v>
      </c>
      <c r="H372" s="7" t="str" cm="1">
        <f t="array" ref="H372">_xlfn.IFS(Table1[[#This Row],[in_or_out]]="out", "Take_out",Table1[[#This Row],[in_or_out]]="in", "Dine_in", Table1[[#This Row],[in_or_out]]="","Unknown")</f>
        <v>Take_out</v>
      </c>
    </row>
    <row r="373" spans="1:8" ht="15.75">
      <c r="A373" s="18">
        <v>372</v>
      </c>
      <c r="B373" s="7" t="s">
        <v>429</v>
      </c>
      <c r="C373" s="12">
        <v>45338.401388888888</v>
      </c>
      <c r="D373" s="7" t="s">
        <v>26</v>
      </c>
      <c r="E373" s="7">
        <v>1</v>
      </c>
      <c r="F373" s="7" t="s">
        <v>322</v>
      </c>
      <c r="G373" s="19" t="s">
        <v>14</v>
      </c>
      <c r="H373" s="7" t="str" cm="1">
        <f t="array" ref="H373">_xlfn.IFS(Table1[[#This Row],[in_or_out]]="out", "Take_out",Table1[[#This Row],[in_or_out]]="in", "Dine_in", Table1[[#This Row],[in_or_out]]="","Unknown")</f>
        <v>Dine_in</v>
      </c>
    </row>
    <row r="374" spans="1:8" ht="15.75">
      <c r="A374" s="18">
        <v>373</v>
      </c>
      <c r="B374" s="7" t="s">
        <v>430</v>
      </c>
      <c r="C374" s="12">
        <v>45338.40625</v>
      </c>
      <c r="D374" s="7" t="s">
        <v>142</v>
      </c>
      <c r="E374" s="7">
        <v>1</v>
      </c>
      <c r="F374" s="7" t="s">
        <v>431</v>
      </c>
      <c r="G374" s="19" t="s">
        <v>10</v>
      </c>
      <c r="H374" s="7" t="str" cm="1">
        <f t="array" ref="H374">_xlfn.IFS(Table1[[#This Row],[in_or_out]]="out", "Take_out",Table1[[#This Row],[in_or_out]]="in", "Dine_in", Table1[[#This Row],[in_or_out]]="","Unknown")</f>
        <v>Take_out</v>
      </c>
    </row>
    <row r="375" spans="1:8" ht="15.75">
      <c r="A375" s="18">
        <v>374</v>
      </c>
      <c r="B375" s="7" t="s">
        <v>432</v>
      </c>
      <c r="C375" s="12">
        <v>45338.411111111112</v>
      </c>
      <c r="D375" s="7" t="s">
        <v>166</v>
      </c>
      <c r="E375" s="7">
        <v>1</v>
      </c>
      <c r="F375" s="7" t="s">
        <v>362</v>
      </c>
      <c r="G375" s="19" t="s">
        <v>14</v>
      </c>
      <c r="H375" s="7" t="str" cm="1">
        <f t="array" ref="H375">_xlfn.IFS(Table1[[#This Row],[in_or_out]]="out", "Take_out",Table1[[#This Row],[in_or_out]]="in", "Dine_in", Table1[[#This Row],[in_or_out]]="","Unknown")</f>
        <v>Dine_in</v>
      </c>
    </row>
    <row r="376" spans="1:8" ht="15.75">
      <c r="A376" s="18">
        <v>375</v>
      </c>
      <c r="B376" s="7" t="s">
        <v>433</v>
      </c>
      <c r="C376" s="12">
        <v>45338.415972222225</v>
      </c>
      <c r="D376" s="7" t="s">
        <v>24</v>
      </c>
      <c r="E376" s="7">
        <v>1</v>
      </c>
      <c r="F376" s="7" t="s">
        <v>434</v>
      </c>
      <c r="G376" s="19" t="s">
        <v>10</v>
      </c>
      <c r="H376" s="7" t="str" cm="1">
        <f t="array" ref="H376">_xlfn.IFS(Table1[[#This Row],[in_or_out]]="out", "Take_out",Table1[[#This Row],[in_or_out]]="in", "Dine_in", Table1[[#This Row],[in_or_out]]="","Unknown")</f>
        <v>Take_out</v>
      </c>
    </row>
    <row r="377" spans="1:8" ht="15.75">
      <c r="A377" s="18">
        <v>376</v>
      </c>
      <c r="B377" s="7" t="s">
        <v>435</v>
      </c>
      <c r="C377" s="12">
        <v>45338.420138888891</v>
      </c>
      <c r="D377" s="7" t="s">
        <v>42</v>
      </c>
      <c r="E377" s="7">
        <v>1</v>
      </c>
      <c r="F377" s="7" t="s">
        <v>324</v>
      </c>
      <c r="G377" s="19" t="s">
        <v>14</v>
      </c>
      <c r="H377" s="7" t="str" cm="1">
        <f t="array" ref="H377">_xlfn.IFS(Table1[[#This Row],[in_or_out]]="out", "Take_out",Table1[[#This Row],[in_or_out]]="in", "Dine_in", Table1[[#This Row],[in_or_out]]="","Unknown")</f>
        <v>Dine_in</v>
      </c>
    </row>
    <row r="378" spans="1:8" ht="15.75">
      <c r="A378" s="18">
        <v>377</v>
      </c>
      <c r="B378" s="7" t="s">
        <v>436</v>
      </c>
      <c r="C378" s="12">
        <v>45338.431250000001</v>
      </c>
      <c r="D378" s="7" t="s">
        <v>30</v>
      </c>
      <c r="E378" s="7">
        <v>1</v>
      </c>
      <c r="F378" s="7" t="s">
        <v>437</v>
      </c>
      <c r="G378" s="19" t="s">
        <v>10</v>
      </c>
      <c r="H378" s="7" t="str" cm="1">
        <f t="array" ref="H378">_xlfn.IFS(Table1[[#This Row],[in_or_out]]="out", "Take_out",Table1[[#This Row],[in_or_out]]="in", "Dine_in", Table1[[#This Row],[in_or_out]]="","Unknown")</f>
        <v>Take_out</v>
      </c>
    </row>
    <row r="379" spans="1:8" ht="15.75">
      <c r="A379" s="18">
        <v>378</v>
      </c>
      <c r="B379" s="7" t="s">
        <v>438</v>
      </c>
      <c r="C379" s="12">
        <v>45338.443055555559</v>
      </c>
      <c r="D379" s="7" t="s">
        <v>8</v>
      </c>
      <c r="E379" s="7">
        <v>1</v>
      </c>
      <c r="F379" s="7" t="s">
        <v>439</v>
      </c>
      <c r="G379" s="19" t="s">
        <v>14</v>
      </c>
      <c r="H379" s="7" t="str" cm="1">
        <f t="array" ref="H379">_xlfn.IFS(Table1[[#This Row],[in_or_out]]="out", "Take_out",Table1[[#This Row],[in_or_out]]="in", "Dine_in", Table1[[#This Row],[in_or_out]]="","Unknown")</f>
        <v>Dine_in</v>
      </c>
    </row>
    <row r="380" spans="1:8" ht="15.75">
      <c r="A380" s="18">
        <v>379</v>
      </c>
      <c r="B380" s="7" t="s">
        <v>440</v>
      </c>
      <c r="C380" s="12">
        <v>45338.45416666667</v>
      </c>
      <c r="D380" s="7" t="s">
        <v>67</v>
      </c>
      <c r="E380" s="7">
        <v>1</v>
      </c>
      <c r="F380" s="7" t="s">
        <v>441</v>
      </c>
      <c r="G380" s="19" t="s">
        <v>10</v>
      </c>
      <c r="H380" s="7" t="str" cm="1">
        <f t="array" ref="H380">_xlfn.IFS(Table1[[#This Row],[in_or_out]]="out", "Take_out",Table1[[#This Row],[in_or_out]]="in", "Dine_in", Table1[[#This Row],[in_or_out]]="","Unknown")</f>
        <v>Take_out</v>
      </c>
    </row>
    <row r="381" spans="1:8" ht="15.75">
      <c r="A381" s="18">
        <v>380</v>
      </c>
      <c r="B381" s="7" t="s">
        <v>440</v>
      </c>
      <c r="C381" s="12">
        <v>45338.45416666667</v>
      </c>
      <c r="D381" s="7" t="s">
        <v>166</v>
      </c>
      <c r="E381" s="7">
        <v>1</v>
      </c>
      <c r="F381" s="7" t="s">
        <v>441</v>
      </c>
      <c r="G381" s="19" t="s">
        <v>789</v>
      </c>
      <c r="H381" s="7" t="str" cm="1">
        <f t="array" ref="H381">_xlfn.IFS(Table1[[#This Row],[in_or_out]]="out", "Take_out",Table1[[#This Row],[in_or_out]]="in", "Dine_in", Table1[[#This Row],[in_or_out]]="","Unknown")</f>
        <v>Unknown</v>
      </c>
    </row>
    <row r="382" spans="1:8" ht="15.75">
      <c r="A382" s="18">
        <v>381</v>
      </c>
      <c r="B382" s="7" t="s">
        <v>442</v>
      </c>
      <c r="C382" s="12">
        <v>45338.465277777781</v>
      </c>
      <c r="D382" s="7" t="s">
        <v>52</v>
      </c>
      <c r="E382" s="7">
        <v>1</v>
      </c>
      <c r="F382" s="7" t="s">
        <v>443</v>
      </c>
      <c r="G382" s="19" t="s">
        <v>14</v>
      </c>
      <c r="H382" s="7" t="str" cm="1">
        <f t="array" ref="H382">_xlfn.IFS(Table1[[#This Row],[in_or_out]]="out", "Take_out",Table1[[#This Row],[in_or_out]]="in", "Dine_in", Table1[[#This Row],[in_or_out]]="","Unknown")</f>
        <v>Dine_in</v>
      </c>
    </row>
    <row r="383" spans="1:8" ht="15.75">
      <c r="A383" s="18">
        <v>382</v>
      </c>
      <c r="B383" s="7" t="s">
        <v>444</v>
      </c>
      <c r="C383" s="12">
        <v>45338.476388888892</v>
      </c>
      <c r="D383" s="7" t="s">
        <v>32</v>
      </c>
      <c r="E383" s="7">
        <v>1</v>
      </c>
      <c r="F383" s="7" t="s">
        <v>289</v>
      </c>
      <c r="G383" s="19" t="s">
        <v>10</v>
      </c>
      <c r="H383" s="7" t="str" cm="1">
        <f t="array" ref="H383">_xlfn.IFS(Table1[[#This Row],[in_or_out]]="out", "Take_out",Table1[[#This Row],[in_or_out]]="in", "Dine_in", Table1[[#This Row],[in_or_out]]="","Unknown")</f>
        <v>Take_out</v>
      </c>
    </row>
    <row r="384" spans="1:8" ht="15.75">
      <c r="A384" s="18">
        <v>383</v>
      </c>
      <c r="B384" s="7" t="s">
        <v>445</v>
      </c>
      <c r="C384" s="12">
        <v>45338.488194444442</v>
      </c>
      <c r="D384" s="7" t="s">
        <v>21</v>
      </c>
      <c r="E384" s="7">
        <v>1</v>
      </c>
      <c r="F384" s="7" t="s">
        <v>446</v>
      </c>
      <c r="G384" s="19" t="s">
        <v>14</v>
      </c>
      <c r="H384" s="7" t="str" cm="1">
        <f t="array" ref="H384">_xlfn.IFS(Table1[[#This Row],[in_or_out]]="out", "Take_out",Table1[[#This Row],[in_or_out]]="in", "Dine_in", Table1[[#This Row],[in_or_out]]="","Unknown")</f>
        <v>Dine_in</v>
      </c>
    </row>
    <row r="385" spans="1:8" ht="15.75">
      <c r="A385" s="18">
        <v>384</v>
      </c>
      <c r="B385" s="7" t="s">
        <v>447</v>
      </c>
      <c r="C385" s="12">
        <v>45338.499305555553</v>
      </c>
      <c r="D385" s="7" t="s">
        <v>38</v>
      </c>
      <c r="E385" s="7">
        <v>1</v>
      </c>
      <c r="F385" s="7" t="s">
        <v>448</v>
      </c>
      <c r="G385" s="19" t="s">
        <v>10</v>
      </c>
      <c r="H385" s="7" t="str" cm="1">
        <f t="array" ref="H385">_xlfn.IFS(Table1[[#This Row],[in_or_out]]="out", "Take_out",Table1[[#This Row],[in_or_out]]="in", "Dine_in", Table1[[#This Row],[in_or_out]]="","Unknown")</f>
        <v>Take_out</v>
      </c>
    </row>
    <row r="386" spans="1:8" ht="15.75">
      <c r="A386" s="18">
        <v>385</v>
      </c>
      <c r="B386" s="7" t="s">
        <v>449</v>
      </c>
      <c r="C386" s="12">
        <v>45338.504166666666</v>
      </c>
      <c r="D386" s="7" t="s">
        <v>54</v>
      </c>
      <c r="E386" s="7">
        <v>1</v>
      </c>
      <c r="F386" s="7" t="s">
        <v>450</v>
      </c>
      <c r="G386" s="19" t="s">
        <v>14</v>
      </c>
      <c r="H386" s="7" t="str" cm="1">
        <f t="array" ref="H386">_xlfn.IFS(Table1[[#This Row],[in_or_out]]="out", "Take_out",Table1[[#This Row],[in_or_out]]="in", "Dine_in", Table1[[#This Row],[in_or_out]]="","Unknown")</f>
        <v>Dine_in</v>
      </c>
    </row>
    <row r="387" spans="1:8" ht="15.75">
      <c r="A387" s="18">
        <v>386</v>
      </c>
      <c r="B387" s="7" t="s">
        <v>451</v>
      </c>
      <c r="C387" s="12">
        <v>45338.508333333331</v>
      </c>
      <c r="D387" s="7" t="s">
        <v>28</v>
      </c>
      <c r="E387" s="7">
        <v>1</v>
      </c>
      <c r="F387" s="7" t="s">
        <v>452</v>
      </c>
      <c r="G387" s="19" t="s">
        <v>10</v>
      </c>
      <c r="H387" s="7" t="str" cm="1">
        <f t="array" ref="H387">_xlfn.IFS(Table1[[#This Row],[in_or_out]]="out", "Take_out",Table1[[#This Row],[in_or_out]]="in", "Dine_in", Table1[[#This Row],[in_or_out]]="","Unknown")</f>
        <v>Take_out</v>
      </c>
    </row>
    <row r="388" spans="1:8" ht="15.75">
      <c r="A388" s="18">
        <v>387</v>
      </c>
      <c r="B388" s="7" t="s">
        <v>453</v>
      </c>
      <c r="C388" s="12">
        <v>45338.513194444444</v>
      </c>
      <c r="D388" s="7" t="s">
        <v>48</v>
      </c>
      <c r="E388" s="7">
        <v>1</v>
      </c>
      <c r="F388" s="7" t="s">
        <v>454</v>
      </c>
      <c r="G388" s="19" t="s">
        <v>14</v>
      </c>
      <c r="H388" s="7" t="str" cm="1">
        <f t="array" ref="H388">_xlfn.IFS(Table1[[#This Row],[in_or_out]]="out", "Take_out",Table1[[#This Row],[in_or_out]]="in", "Dine_in", Table1[[#This Row],[in_or_out]]="","Unknown")</f>
        <v>Dine_in</v>
      </c>
    </row>
    <row r="389" spans="1:8" ht="15.75">
      <c r="A389" s="18">
        <v>388</v>
      </c>
      <c r="B389" s="7" t="s">
        <v>453</v>
      </c>
      <c r="C389" s="12">
        <v>45338.513194444444</v>
      </c>
      <c r="D389" s="7" t="s">
        <v>110</v>
      </c>
      <c r="E389" s="7">
        <v>1</v>
      </c>
      <c r="F389" s="7" t="s">
        <v>454</v>
      </c>
      <c r="G389" s="19" t="s">
        <v>789</v>
      </c>
      <c r="H389" s="7" t="str" cm="1">
        <f t="array" ref="H389">_xlfn.IFS(Table1[[#This Row],[in_or_out]]="out", "Take_out",Table1[[#This Row],[in_or_out]]="in", "Dine_in", Table1[[#This Row],[in_or_out]]="","Unknown")</f>
        <v>Unknown</v>
      </c>
    </row>
    <row r="390" spans="1:8" ht="15.75">
      <c r="A390" s="18">
        <v>389</v>
      </c>
      <c r="B390" s="7" t="s">
        <v>455</v>
      </c>
      <c r="C390" s="12">
        <v>45338.517361111109</v>
      </c>
      <c r="D390" s="7" t="s">
        <v>34</v>
      </c>
      <c r="E390" s="7">
        <v>1</v>
      </c>
      <c r="F390" s="7" t="s">
        <v>456</v>
      </c>
      <c r="G390" s="19" t="s">
        <v>10</v>
      </c>
      <c r="H390" s="7" t="str" cm="1">
        <f t="array" ref="H390">_xlfn.IFS(Table1[[#This Row],[in_or_out]]="out", "Take_out",Table1[[#This Row],[in_or_out]]="in", "Dine_in", Table1[[#This Row],[in_or_out]]="","Unknown")</f>
        <v>Take_out</v>
      </c>
    </row>
    <row r="391" spans="1:8" ht="15.75">
      <c r="A391" s="18">
        <v>390</v>
      </c>
      <c r="B391" s="7" t="s">
        <v>457</v>
      </c>
      <c r="C391" s="12">
        <v>45338.522222222222</v>
      </c>
      <c r="D391" s="7" t="s">
        <v>24</v>
      </c>
      <c r="E391" s="7">
        <v>1</v>
      </c>
      <c r="F391" s="7" t="s">
        <v>345</v>
      </c>
      <c r="G391" s="19" t="s">
        <v>14</v>
      </c>
      <c r="H391" s="7" t="str" cm="1">
        <f t="array" ref="H391">_xlfn.IFS(Table1[[#This Row],[in_or_out]]="out", "Take_out",Table1[[#This Row],[in_or_out]]="in", "Dine_in", Table1[[#This Row],[in_or_out]]="","Unknown")</f>
        <v>Dine_in</v>
      </c>
    </row>
    <row r="392" spans="1:8" ht="15.75">
      <c r="A392" s="18">
        <v>391</v>
      </c>
      <c r="B392" s="7" t="s">
        <v>458</v>
      </c>
      <c r="C392" s="12">
        <v>45338.526388888888</v>
      </c>
      <c r="D392" s="7" t="s">
        <v>160</v>
      </c>
      <c r="E392" s="7">
        <v>1</v>
      </c>
      <c r="F392" s="7" t="s">
        <v>459</v>
      </c>
      <c r="G392" s="19" t="s">
        <v>10</v>
      </c>
      <c r="H392" s="7" t="str" cm="1">
        <f t="array" ref="H392">_xlfn.IFS(Table1[[#This Row],[in_or_out]]="out", "Take_out",Table1[[#This Row],[in_or_out]]="in", "Dine_in", Table1[[#This Row],[in_or_out]]="","Unknown")</f>
        <v>Take_out</v>
      </c>
    </row>
    <row r="393" spans="1:8" ht="15.75">
      <c r="A393" s="18">
        <v>392</v>
      </c>
      <c r="B393" s="7" t="s">
        <v>460</v>
      </c>
      <c r="C393" s="12">
        <v>45338.53125</v>
      </c>
      <c r="D393" s="7" t="s">
        <v>56</v>
      </c>
      <c r="E393" s="7">
        <v>1</v>
      </c>
      <c r="F393" s="7" t="s">
        <v>307</v>
      </c>
      <c r="G393" s="19" t="s">
        <v>14</v>
      </c>
      <c r="H393" s="7" t="str" cm="1">
        <f t="array" ref="H393">_xlfn.IFS(Table1[[#This Row],[in_or_out]]="out", "Take_out",Table1[[#This Row],[in_or_out]]="in", "Dine_in", Table1[[#This Row],[in_or_out]]="","Unknown")</f>
        <v>Dine_in</v>
      </c>
    </row>
    <row r="394" spans="1:8" ht="15.75">
      <c r="A394" s="18">
        <v>393</v>
      </c>
      <c r="B394" s="7" t="s">
        <v>461</v>
      </c>
      <c r="C394" s="12">
        <v>45338.535416666666</v>
      </c>
      <c r="D394" s="7" t="s">
        <v>123</v>
      </c>
      <c r="E394" s="7">
        <v>1</v>
      </c>
      <c r="F394" s="7" t="s">
        <v>462</v>
      </c>
      <c r="G394" s="19" t="s">
        <v>10</v>
      </c>
      <c r="H394" s="7" t="str" cm="1">
        <f t="array" ref="H394">_xlfn.IFS(Table1[[#This Row],[in_or_out]]="out", "Take_out",Table1[[#This Row],[in_or_out]]="in", "Dine_in", Table1[[#This Row],[in_or_out]]="","Unknown")</f>
        <v>Take_out</v>
      </c>
    </row>
    <row r="395" spans="1:8" ht="15.75">
      <c r="A395" s="18">
        <v>394</v>
      </c>
      <c r="B395" s="7" t="s">
        <v>463</v>
      </c>
      <c r="C395" s="12">
        <v>45338.540277777778</v>
      </c>
      <c r="D395" s="7" t="s">
        <v>67</v>
      </c>
      <c r="E395" s="7">
        <v>1</v>
      </c>
      <c r="F395" s="7" t="s">
        <v>37</v>
      </c>
      <c r="G395" s="19" t="s">
        <v>14</v>
      </c>
      <c r="H395" s="7" t="str" cm="1">
        <f t="array" ref="H395">_xlfn.IFS(Table1[[#This Row],[in_or_out]]="out", "Take_out",Table1[[#This Row],[in_or_out]]="in", "Dine_in", Table1[[#This Row],[in_or_out]]="","Unknown")</f>
        <v>Dine_in</v>
      </c>
    </row>
    <row r="396" spans="1:8" ht="15.75">
      <c r="A396" s="18">
        <v>395</v>
      </c>
      <c r="B396" s="7" t="s">
        <v>463</v>
      </c>
      <c r="C396" s="12">
        <v>45338.540277777778</v>
      </c>
      <c r="D396" s="7" t="s">
        <v>36</v>
      </c>
      <c r="E396" s="7">
        <v>1</v>
      </c>
      <c r="F396" s="7" t="s">
        <v>37</v>
      </c>
      <c r="G396" s="19" t="s">
        <v>789</v>
      </c>
      <c r="H396" s="7" t="str" cm="1">
        <f t="array" ref="H396">_xlfn.IFS(Table1[[#This Row],[in_or_out]]="out", "Take_out",Table1[[#This Row],[in_or_out]]="in", "Dine_in", Table1[[#This Row],[in_or_out]]="","Unknown")</f>
        <v>Unknown</v>
      </c>
    </row>
    <row r="397" spans="1:8" ht="15.75">
      <c r="A397" s="18">
        <v>396</v>
      </c>
      <c r="B397" s="7" t="s">
        <v>464</v>
      </c>
      <c r="C397" s="12">
        <v>45338.544444444444</v>
      </c>
      <c r="D397" s="7" t="s">
        <v>32</v>
      </c>
      <c r="E397" s="7">
        <v>1</v>
      </c>
      <c r="F397" s="7" t="s">
        <v>465</v>
      </c>
      <c r="G397" s="19" t="s">
        <v>10</v>
      </c>
      <c r="H397" s="7" t="str" cm="1">
        <f t="array" ref="H397">_xlfn.IFS(Table1[[#This Row],[in_or_out]]="out", "Take_out",Table1[[#This Row],[in_or_out]]="in", "Dine_in", Table1[[#This Row],[in_or_out]]="","Unknown")</f>
        <v>Take_out</v>
      </c>
    </row>
    <row r="398" spans="1:8" ht="15.75">
      <c r="A398" s="18">
        <v>397</v>
      </c>
      <c r="B398" s="7" t="s">
        <v>466</v>
      </c>
      <c r="C398" s="12">
        <v>45338.549305555556</v>
      </c>
      <c r="D398" s="7" t="s">
        <v>12</v>
      </c>
      <c r="E398" s="7">
        <v>1</v>
      </c>
      <c r="F398" s="7" t="s">
        <v>398</v>
      </c>
      <c r="G398" s="19" t="s">
        <v>14</v>
      </c>
      <c r="H398" s="7" t="str" cm="1">
        <f t="array" ref="H398">_xlfn.IFS(Table1[[#This Row],[in_or_out]]="out", "Take_out",Table1[[#This Row],[in_or_out]]="in", "Dine_in", Table1[[#This Row],[in_or_out]]="","Unknown")</f>
        <v>Dine_in</v>
      </c>
    </row>
    <row r="399" spans="1:8" ht="15.75">
      <c r="A399" s="18">
        <v>398</v>
      </c>
      <c r="B399" s="7" t="s">
        <v>467</v>
      </c>
      <c r="C399" s="12">
        <v>45338.553472222222</v>
      </c>
      <c r="D399" s="7" t="s">
        <v>153</v>
      </c>
      <c r="E399" s="7">
        <v>1</v>
      </c>
      <c r="F399" s="7" t="s">
        <v>468</v>
      </c>
      <c r="G399" s="19" t="s">
        <v>10</v>
      </c>
      <c r="H399" s="7" t="str" cm="1">
        <f t="array" ref="H399">_xlfn.IFS(Table1[[#This Row],[in_or_out]]="out", "Take_out",Table1[[#This Row],[in_or_out]]="in", "Dine_in", Table1[[#This Row],[in_or_out]]="","Unknown")</f>
        <v>Take_out</v>
      </c>
    </row>
    <row r="400" spans="1:8" ht="15.75">
      <c r="A400" s="18">
        <v>399</v>
      </c>
      <c r="B400" s="7" t="s">
        <v>469</v>
      </c>
      <c r="C400" s="12">
        <v>45338.558333333334</v>
      </c>
      <c r="D400" s="7" t="s">
        <v>8</v>
      </c>
      <c r="E400" s="7">
        <v>1</v>
      </c>
      <c r="F400" s="7" t="s">
        <v>427</v>
      </c>
      <c r="G400" s="19" t="s">
        <v>14</v>
      </c>
      <c r="H400" s="7" t="str" cm="1">
        <f t="array" ref="H400">_xlfn.IFS(Table1[[#This Row],[in_or_out]]="out", "Take_out",Table1[[#This Row],[in_or_out]]="in", "Dine_in", Table1[[#This Row],[in_or_out]]="","Unknown")</f>
        <v>Dine_in</v>
      </c>
    </row>
    <row r="401" spans="1:8" ht="15.75">
      <c r="A401" s="18">
        <v>400</v>
      </c>
      <c r="B401" s="7" t="s">
        <v>470</v>
      </c>
      <c r="C401" s="12">
        <v>45338.5625</v>
      </c>
      <c r="D401" s="7" t="s">
        <v>30</v>
      </c>
      <c r="E401" s="7">
        <v>1</v>
      </c>
      <c r="F401" s="7" t="s">
        <v>471</v>
      </c>
      <c r="G401" s="19" t="s">
        <v>10</v>
      </c>
      <c r="H401" s="7" t="str" cm="1">
        <f t="array" ref="H401">_xlfn.IFS(Table1[[#This Row],[in_or_out]]="out", "Take_out",Table1[[#This Row],[in_or_out]]="in", "Dine_in", Table1[[#This Row],[in_or_out]]="","Unknown")</f>
        <v>Take_out</v>
      </c>
    </row>
    <row r="402" spans="1:8" ht="15.75">
      <c r="A402" s="18">
        <v>401</v>
      </c>
      <c r="B402" s="7" t="s">
        <v>472</v>
      </c>
      <c r="C402" s="12">
        <v>45338.567361111112</v>
      </c>
      <c r="D402" s="7" t="s">
        <v>52</v>
      </c>
      <c r="E402" s="7">
        <v>1</v>
      </c>
      <c r="F402" s="7" t="s">
        <v>322</v>
      </c>
      <c r="G402" s="19" t="s">
        <v>14</v>
      </c>
      <c r="H402" s="7" t="str" cm="1">
        <f t="array" ref="H402">_xlfn.IFS(Table1[[#This Row],[in_or_out]]="out", "Take_out",Table1[[#This Row],[in_or_out]]="in", "Dine_in", Table1[[#This Row],[in_or_out]]="","Unknown")</f>
        <v>Dine_in</v>
      </c>
    </row>
    <row r="403" spans="1:8" ht="15.75">
      <c r="A403" s="18">
        <v>402</v>
      </c>
      <c r="B403" s="7" t="s">
        <v>473</v>
      </c>
      <c r="C403" s="12">
        <v>45338.571527777778</v>
      </c>
      <c r="D403" s="7" t="s">
        <v>18</v>
      </c>
      <c r="E403" s="7">
        <v>1</v>
      </c>
      <c r="F403" s="7" t="s">
        <v>474</v>
      </c>
      <c r="G403" s="19" t="s">
        <v>10</v>
      </c>
      <c r="H403" s="7" t="str" cm="1">
        <f t="array" ref="H403">_xlfn.IFS(Table1[[#This Row],[in_or_out]]="out", "Take_out",Table1[[#This Row],[in_or_out]]="in", "Dine_in", Table1[[#This Row],[in_or_out]]="","Unknown")</f>
        <v>Take_out</v>
      </c>
    </row>
    <row r="404" spans="1:8" ht="15.75">
      <c r="A404" s="18">
        <v>403</v>
      </c>
      <c r="B404" s="7" t="s">
        <v>475</v>
      </c>
      <c r="C404" s="12">
        <v>45338.576388888891</v>
      </c>
      <c r="D404" s="7" t="s">
        <v>42</v>
      </c>
      <c r="E404" s="7">
        <v>1</v>
      </c>
      <c r="F404" s="7" t="s">
        <v>362</v>
      </c>
      <c r="G404" s="19" t="s">
        <v>14</v>
      </c>
      <c r="H404" s="7" t="str" cm="1">
        <f t="array" ref="H404">_xlfn.IFS(Table1[[#This Row],[in_or_out]]="out", "Take_out",Table1[[#This Row],[in_or_out]]="in", "Dine_in", Table1[[#This Row],[in_or_out]]="","Unknown")</f>
        <v>Dine_in</v>
      </c>
    </row>
    <row r="405" spans="1:8" ht="15.75">
      <c r="A405" s="18">
        <v>404</v>
      </c>
      <c r="B405" s="7" t="s">
        <v>476</v>
      </c>
      <c r="C405" s="12">
        <v>45338.580555555556</v>
      </c>
      <c r="D405" s="7" t="s">
        <v>45</v>
      </c>
      <c r="E405" s="7">
        <v>1</v>
      </c>
      <c r="F405" s="7" t="s">
        <v>434</v>
      </c>
      <c r="G405" s="19" t="s">
        <v>10</v>
      </c>
      <c r="H405" s="7" t="str" cm="1">
        <f t="array" ref="H405">_xlfn.IFS(Table1[[#This Row],[in_or_out]]="out", "Take_out",Table1[[#This Row],[in_or_out]]="in", "Dine_in", Table1[[#This Row],[in_or_out]]="","Unknown")</f>
        <v>Take_out</v>
      </c>
    </row>
    <row r="406" spans="1:8" ht="15.75">
      <c r="A406" s="18">
        <v>405</v>
      </c>
      <c r="B406" s="7" t="s">
        <v>477</v>
      </c>
      <c r="C406" s="12">
        <v>45338.585416666669</v>
      </c>
      <c r="D406" s="7" t="s">
        <v>89</v>
      </c>
      <c r="E406" s="7">
        <v>1</v>
      </c>
      <c r="F406" s="7" t="s">
        <v>478</v>
      </c>
      <c r="G406" s="19" t="s">
        <v>14</v>
      </c>
      <c r="H406" s="7" t="str" cm="1">
        <f t="array" ref="H406">_xlfn.IFS(Table1[[#This Row],[in_or_out]]="out", "Take_out",Table1[[#This Row],[in_or_out]]="in", "Dine_in", Table1[[#This Row],[in_or_out]]="","Unknown")</f>
        <v>Dine_in</v>
      </c>
    </row>
    <row r="407" spans="1:8" ht="15.75">
      <c r="A407" s="18">
        <v>406</v>
      </c>
      <c r="B407" s="7" t="s">
        <v>477</v>
      </c>
      <c r="C407" s="12">
        <v>45338.585416666669</v>
      </c>
      <c r="D407" s="7" t="s">
        <v>21</v>
      </c>
      <c r="E407" s="7">
        <v>1</v>
      </c>
      <c r="F407" s="7" t="s">
        <v>478</v>
      </c>
      <c r="G407" s="19" t="s">
        <v>789</v>
      </c>
      <c r="H407" s="7" t="str" cm="1">
        <f t="array" ref="H407">_xlfn.IFS(Table1[[#This Row],[in_or_out]]="out", "Take_out",Table1[[#This Row],[in_or_out]]="in", "Dine_in", Table1[[#This Row],[in_or_out]]="","Unknown")</f>
        <v>Unknown</v>
      </c>
    </row>
    <row r="408" spans="1:8" ht="15.75">
      <c r="A408" s="18">
        <v>407</v>
      </c>
      <c r="B408" s="7" t="s">
        <v>479</v>
      </c>
      <c r="C408" s="12">
        <v>45338.589583333334</v>
      </c>
      <c r="D408" s="7" t="s">
        <v>59</v>
      </c>
      <c r="E408" s="7">
        <v>1</v>
      </c>
      <c r="F408" s="7" t="s">
        <v>368</v>
      </c>
      <c r="G408" s="19" t="s">
        <v>10</v>
      </c>
      <c r="H408" s="7" t="str" cm="1">
        <f t="array" ref="H408">_xlfn.IFS(Table1[[#This Row],[in_or_out]]="out", "Take_out",Table1[[#This Row],[in_or_out]]="in", "Dine_in", Table1[[#This Row],[in_or_out]]="","Unknown")</f>
        <v>Take_out</v>
      </c>
    </row>
    <row r="409" spans="1:8" ht="15.75">
      <c r="A409" s="18">
        <v>408</v>
      </c>
      <c r="B409" s="7" t="s">
        <v>480</v>
      </c>
      <c r="C409" s="12">
        <v>45338.594444444447</v>
      </c>
      <c r="D409" s="7" t="s">
        <v>50</v>
      </c>
      <c r="E409" s="7">
        <v>1</v>
      </c>
      <c r="F409" s="7" t="s">
        <v>370</v>
      </c>
      <c r="G409" s="19" t="s">
        <v>14</v>
      </c>
      <c r="H409" s="7" t="str" cm="1">
        <f t="array" ref="H409">_xlfn.IFS(Table1[[#This Row],[in_or_out]]="out", "Take_out",Table1[[#This Row],[in_or_out]]="in", "Dine_in", Table1[[#This Row],[in_or_out]]="","Unknown")</f>
        <v>Dine_in</v>
      </c>
    </row>
    <row r="410" spans="1:8" ht="15.75">
      <c r="A410" s="18">
        <v>409</v>
      </c>
      <c r="B410" s="7" t="s">
        <v>481</v>
      </c>
      <c r="C410" s="12">
        <v>45338.598611111112</v>
      </c>
      <c r="D410" s="7" t="s">
        <v>38</v>
      </c>
      <c r="E410" s="7">
        <v>1</v>
      </c>
      <c r="F410" s="7" t="s">
        <v>372</v>
      </c>
      <c r="G410" s="19" t="s">
        <v>10</v>
      </c>
      <c r="H410" s="7" t="str" cm="1">
        <f t="array" ref="H410">_xlfn.IFS(Table1[[#This Row],[in_or_out]]="out", "Take_out",Table1[[#This Row],[in_or_out]]="in", "Dine_in", Table1[[#This Row],[in_or_out]]="","Unknown")</f>
        <v>Take_out</v>
      </c>
    </row>
    <row r="411" spans="1:8" ht="15.75">
      <c r="A411" s="18">
        <v>410</v>
      </c>
      <c r="B411" s="7" t="s">
        <v>482</v>
      </c>
      <c r="C411" s="12">
        <v>45338.603472222225</v>
      </c>
      <c r="D411" s="7" t="s">
        <v>142</v>
      </c>
      <c r="E411" s="7">
        <v>1</v>
      </c>
      <c r="F411" s="7" t="s">
        <v>374</v>
      </c>
      <c r="G411" s="19" t="s">
        <v>14</v>
      </c>
      <c r="H411" s="7" t="str" cm="1">
        <f t="array" ref="H411">_xlfn.IFS(Table1[[#This Row],[in_or_out]]="out", "Take_out",Table1[[#This Row],[in_or_out]]="in", "Dine_in", Table1[[#This Row],[in_or_out]]="","Unknown")</f>
        <v>Dine_in</v>
      </c>
    </row>
    <row r="412" spans="1:8" ht="15.75">
      <c r="A412" s="18">
        <v>411</v>
      </c>
      <c r="B412" s="7" t="s">
        <v>483</v>
      </c>
      <c r="C412" s="12">
        <v>45338.607638888891</v>
      </c>
      <c r="D412" s="7" t="s">
        <v>26</v>
      </c>
      <c r="E412" s="7">
        <v>1</v>
      </c>
      <c r="F412" s="7" t="s">
        <v>484</v>
      </c>
      <c r="G412" s="19" t="s">
        <v>10</v>
      </c>
      <c r="H412" s="7" t="str" cm="1">
        <f t="array" ref="H412">_xlfn.IFS(Table1[[#This Row],[in_or_out]]="out", "Take_out",Table1[[#This Row],[in_or_out]]="in", "Dine_in", Table1[[#This Row],[in_or_out]]="","Unknown")</f>
        <v>Take_out</v>
      </c>
    </row>
    <row r="413" spans="1:8" ht="15.75">
      <c r="A413" s="18">
        <v>412</v>
      </c>
      <c r="B413" s="7" t="s">
        <v>485</v>
      </c>
      <c r="C413" s="12">
        <v>45338.612500000003</v>
      </c>
      <c r="D413" s="7" t="s">
        <v>28</v>
      </c>
      <c r="E413" s="7">
        <v>1</v>
      </c>
      <c r="F413" s="7" t="s">
        <v>486</v>
      </c>
      <c r="G413" s="19" t="s">
        <v>14</v>
      </c>
      <c r="H413" s="7" t="str" cm="1">
        <f t="array" ref="H413">_xlfn.IFS(Table1[[#This Row],[in_or_out]]="out", "Take_out",Table1[[#This Row],[in_or_out]]="in", "Dine_in", Table1[[#This Row],[in_or_out]]="","Unknown")</f>
        <v>Dine_in</v>
      </c>
    </row>
    <row r="414" spans="1:8" ht="15.75">
      <c r="A414" s="18">
        <v>413</v>
      </c>
      <c r="B414" s="7" t="s">
        <v>487</v>
      </c>
      <c r="C414" s="12">
        <v>45338.616666666669</v>
      </c>
      <c r="D414" s="7" t="s">
        <v>54</v>
      </c>
      <c r="E414" s="7">
        <v>1</v>
      </c>
      <c r="F414" s="7" t="s">
        <v>488</v>
      </c>
      <c r="G414" s="19" t="s">
        <v>10</v>
      </c>
      <c r="H414" s="7" t="str" cm="1">
        <f t="array" ref="H414">_xlfn.IFS(Table1[[#This Row],[in_or_out]]="out", "Take_out",Table1[[#This Row],[in_or_out]]="in", "Dine_in", Table1[[#This Row],[in_or_out]]="","Unknown")</f>
        <v>Take_out</v>
      </c>
    </row>
    <row r="415" spans="1:8" ht="15.75">
      <c r="A415" s="18">
        <v>414</v>
      </c>
      <c r="B415" s="7" t="s">
        <v>489</v>
      </c>
      <c r="C415" s="12">
        <v>45338.621527777781</v>
      </c>
      <c r="D415" s="7" t="s">
        <v>48</v>
      </c>
      <c r="E415" s="7">
        <v>1</v>
      </c>
      <c r="F415" s="7" t="s">
        <v>490</v>
      </c>
      <c r="G415" s="19" t="s">
        <v>14</v>
      </c>
      <c r="H415" s="7" t="str" cm="1">
        <f t="array" ref="H415">_xlfn.IFS(Table1[[#This Row],[in_or_out]]="out", "Take_out",Table1[[#This Row],[in_or_out]]="in", "Dine_in", Table1[[#This Row],[in_or_out]]="","Unknown")</f>
        <v>Dine_in</v>
      </c>
    </row>
    <row r="416" spans="1:8" ht="15.75">
      <c r="A416" s="18">
        <v>415</v>
      </c>
      <c r="B416" s="7" t="s">
        <v>491</v>
      </c>
      <c r="C416" s="12">
        <v>45338.625694444447</v>
      </c>
      <c r="D416" s="7" t="s">
        <v>166</v>
      </c>
      <c r="E416" s="7">
        <v>1</v>
      </c>
      <c r="F416" s="7" t="s">
        <v>492</v>
      </c>
      <c r="G416" s="19" t="s">
        <v>10</v>
      </c>
      <c r="H416" s="7" t="str" cm="1">
        <f t="array" ref="H416">_xlfn.IFS(Table1[[#This Row],[in_or_out]]="out", "Take_out",Table1[[#This Row],[in_or_out]]="in", "Dine_in", Table1[[#This Row],[in_or_out]]="","Unknown")</f>
        <v>Take_out</v>
      </c>
    </row>
    <row r="417" spans="1:8" ht="15.75">
      <c r="A417" s="18">
        <v>416</v>
      </c>
      <c r="B417" s="7" t="s">
        <v>493</v>
      </c>
      <c r="C417" s="12">
        <v>45338.630555555559</v>
      </c>
      <c r="D417" s="7" t="s">
        <v>34</v>
      </c>
      <c r="E417" s="7">
        <v>1</v>
      </c>
      <c r="F417" s="7" t="s">
        <v>494</v>
      </c>
      <c r="G417" s="19" t="s">
        <v>14</v>
      </c>
      <c r="H417" s="7" t="str" cm="1">
        <f t="array" ref="H417">_xlfn.IFS(Table1[[#This Row],[in_or_out]]="out", "Take_out",Table1[[#This Row],[in_or_out]]="in", "Dine_in", Table1[[#This Row],[in_or_out]]="","Unknown")</f>
        <v>Dine_in</v>
      </c>
    </row>
    <row r="418" spans="1:8" ht="15.75">
      <c r="A418" s="18">
        <v>417</v>
      </c>
      <c r="B418" s="7" t="s">
        <v>495</v>
      </c>
      <c r="C418" s="12">
        <v>45338.634722222225</v>
      </c>
      <c r="D418" s="7" t="s">
        <v>42</v>
      </c>
      <c r="E418" s="7">
        <v>1</v>
      </c>
      <c r="F418" s="7" t="s">
        <v>496</v>
      </c>
      <c r="G418" s="19" t="s">
        <v>10</v>
      </c>
      <c r="H418" s="7" t="str" cm="1">
        <f t="array" ref="H418">_xlfn.IFS(Table1[[#This Row],[in_or_out]]="out", "Take_out",Table1[[#This Row],[in_or_out]]="in", "Dine_in", Table1[[#This Row],[in_or_out]]="","Unknown")</f>
        <v>Take_out</v>
      </c>
    </row>
    <row r="419" spans="1:8" ht="15.75">
      <c r="A419" s="18">
        <v>418</v>
      </c>
      <c r="B419" s="7" t="s">
        <v>497</v>
      </c>
      <c r="C419" s="12">
        <v>45338.63958333333</v>
      </c>
      <c r="D419" s="7" t="s">
        <v>12</v>
      </c>
      <c r="E419" s="7">
        <v>1</v>
      </c>
      <c r="F419" s="7" t="s">
        <v>498</v>
      </c>
      <c r="G419" s="19" t="s">
        <v>14</v>
      </c>
      <c r="H419" s="7" t="str" cm="1">
        <f t="array" ref="H419">_xlfn.IFS(Table1[[#This Row],[in_or_out]]="out", "Take_out",Table1[[#This Row],[in_or_out]]="in", "Dine_in", Table1[[#This Row],[in_or_out]]="","Unknown")</f>
        <v>Dine_in</v>
      </c>
    </row>
    <row r="420" spans="1:8" ht="15.75">
      <c r="A420" s="18">
        <v>419</v>
      </c>
      <c r="B420" s="7" t="s">
        <v>499</v>
      </c>
      <c r="C420" s="12">
        <v>45338.648611111108</v>
      </c>
      <c r="D420" s="7" t="s">
        <v>54</v>
      </c>
      <c r="E420" s="7">
        <v>1</v>
      </c>
      <c r="F420" s="7" t="s">
        <v>295</v>
      </c>
      <c r="G420" s="19" t="s">
        <v>10</v>
      </c>
      <c r="H420" s="7" t="str" cm="1">
        <f t="array" ref="H420">_xlfn.IFS(Table1[[#This Row],[in_or_out]]="out", "Take_out",Table1[[#This Row],[in_or_out]]="in", "Dine_in", Table1[[#This Row],[in_or_out]]="","Unknown")</f>
        <v>Take_out</v>
      </c>
    </row>
    <row r="421" spans="1:8" ht="15.75">
      <c r="A421" s="18">
        <v>420</v>
      </c>
      <c r="B421" s="7" t="s">
        <v>500</v>
      </c>
      <c r="C421" s="12">
        <v>45338.662499999999</v>
      </c>
      <c r="D421" s="7" t="s">
        <v>48</v>
      </c>
      <c r="E421" s="7">
        <v>1</v>
      </c>
      <c r="F421" s="7" t="s">
        <v>501</v>
      </c>
      <c r="G421" s="19" t="s">
        <v>14</v>
      </c>
      <c r="H421" s="7" t="str" cm="1">
        <f t="array" ref="H421">_xlfn.IFS(Table1[[#This Row],[in_or_out]]="out", "Take_out",Table1[[#This Row],[in_or_out]]="in", "Dine_in", Table1[[#This Row],[in_or_out]]="","Unknown")</f>
        <v>Dine_in</v>
      </c>
    </row>
    <row r="422" spans="1:8" ht="15.75">
      <c r="A422" s="18">
        <v>421</v>
      </c>
      <c r="B422" s="7" t="s">
        <v>502</v>
      </c>
      <c r="C422" s="12">
        <v>45338.676388888889</v>
      </c>
      <c r="D422" s="7" t="s">
        <v>28</v>
      </c>
      <c r="E422" s="7">
        <v>1</v>
      </c>
      <c r="F422" s="7" t="s">
        <v>503</v>
      </c>
      <c r="G422" s="19" t="s">
        <v>10</v>
      </c>
      <c r="H422" s="7" t="str" cm="1">
        <f t="array" ref="H422">_xlfn.IFS(Table1[[#This Row],[in_or_out]]="out", "Take_out",Table1[[#This Row],[in_or_out]]="in", "Dine_in", Table1[[#This Row],[in_or_out]]="","Unknown")</f>
        <v>Take_out</v>
      </c>
    </row>
    <row r="423" spans="1:8" ht="15.75">
      <c r="A423" s="18">
        <v>422</v>
      </c>
      <c r="B423" s="7" t="s">
        <v>504</v>
      </c>
      <c r="C423" s="12">
        <v>45338.69027777778</v>
      </c>
      <c r="D423" s="7" t="s">
        <v>34</v>
      </c>
      <c r="E423" s="7">
        <v>1</v>
      </c>
      <c r="F423" s="7" t="s">
        <v>505</v>
      </c>
      <c r="G423" s="19" t="s">
        <v>14</v>
      </c>
      <c r="H423" s="7" t="str" cm="1">
        <f t="array" ref="H423">_xlfn.IFS(Table1[[#This Row],[in_or_out]]="out", "Take_out",Table1[[#This Row],[in_or_out]]="in", "Dine_in", Table1[[#This Row],[in_or_out]]="","Unknown")</f>
        <v>Dine_in</v>
      </c>
    </row>
    <row r="424" spans="1:8" ht="15.75">
      <c r="A424" s="18">
        <v>423</v>
      </c>
      <c r="B424" s="7" t="s">
        <v>506</v>
      </c>
      <c r="C424" s="12">
        <v>45338.70416666667</v>
      </c>
      <c r="D424" s="7" t="s">
        <v>24</v>
      </c>
      <c r="E424" s="7">
        <v>1</v>
      </c>
      <c r="F424" s="7" t="s">
        <v>507</v>
      </c>
      <c r="G424" s="19" t="s">
        <v>10</v>
      </c>
      <c r="H424" s="7" t="str" cm="1">
        <f t="array" ref="H424">_xlfn.IFS(Table1[[#This Row],[in_or_out]]="out", "Take_out",Table1[[#This Row],[in_or_out]]="in", "Dine_in", Table1[[#This Row],[in_or_out]]="","Unknown")</f>
        <v>Take_out</v>
      </c>
    </row>
    <row r="425" spans="1:8" ht="15.75">
      <c r="A425" s="18">
        <v>424</v>
      </c>
      <c r="B425" s="7" t="s">
        <v>508</v>
      </c>
      <c r="C425" s="12">
        <v>45338.708333333336</v>
      </c>
      <c r="D425" s="7" t="s">
        <v>12</v>
      </c>
      <c r="E425" s="7">
        <v>1</v>
      </c>
      <c r="F425" s="7" t="s">
        <v>419</v>
      </c>
      <c r="G425" s="19" t="s">
        <v>14</v>
      </c>
      <c r="H425" s="7" t="str" cm="1">
        <f t="array" ref="H425">_xlfn.IFS(Table1[[#This Row],[in_or_out]]="out", "Take_out",Table1[[#This Row],[in_or_out]]="in", "Dine_in", Table1[[#This Row],[in_or_out]]="","Unknown")</f>
        <v>Dine_in</v>
      </c>
    </row>
    <row r="426" spans="1:8" ht="15.75">
      <c r="A426" s="18">
        <v>425</v>
      </c>
      <c r="B426" s="7" t="s">
        <v>509</v>
      </c>
      <c r="C426" s="12">
        <v>45339.293749999997</v>
      </c>
      <c r="D426" s="7" t="s">
        <v>24</v>
      </c>
      <c r="E426" s="7">
        <v>1</v>
      </c>
      <c r="F426" s="7" t="s">
        <v>510</v>
      </c>
      <c r="G426" s="19" t="s">
        <v>14</v>
      </c>
      <c r="H426" s="7" t="str" cm="1">
        <f t="array" ref="H426">_xlfn.IFS(Table1[[#This Row],[in_or_out]]="out", "Take_out",Table1[[#This Row],[in_or_out]]="in", "Dine_in", Table1[[#This Row],[in_or_out]]="","Unknown")</f>
        <v>Dine_in</v>
      </c>
    </row>
    <row r="427" spans="1:8" ht="15.75">
      <c r="A427" s="18">
        <v>426</v>
      </c>
      <c r="B427" s="7" t="s">
        <v>511</v>
      </c>
      <c r="C427" s="12">
        <v>45339.297222222223</v>
      </c>
      <c r="D427" s="7" t="s">
        <v>67</v>
      </c>
      <c r="E427" s="7">
        <v>1</v>
      </c>
      <c r="F427" s="7" t="s">
        <v>512</v>
      </c>
      <c r="G427" s="19" t="s">
        <v>10</v>
      </c>
      <c r="H427" s="7" t="str" cm="1">
        <f t="array" ref="H427">_xlfn.IFS(Table1[[#This Row],[in_or_out]]="out", "Take_out",Table1[[#This Row],[in_or_out]]="in", "Dine_in", Table1[[#This Row],[in_or_out]]="","Unknown")</f>
        <v>Take_out</v>
      </c>
    </row>
    <row r="428" spans="1:8" ht="15.75">
      <c r="A428" s="18">
        <v>427</v>
      </c>
      <c r="B428" s="7" t="s">
        <v>511</v>
      </c>
      <c r="C428" s="12">
        <v>45339.297222222223</v>
      </c>
      <c r="D428" s="7" t="s">
        <v>36</v>
      </c>
      <c r="E428" s="7">
        <v>1</v>
      </c>
      <c r="F428" s="7" t="s">
        <v>512</v>
      </c>
      <c r="G428" s="19" t="s">
        <v>789</v>
      </c>
      <c r="H428" s="7" t="str" cm="1">
        <f t="array" ref="H428">_xlfn.IFS(Table1[[#This Row],[in_or_out]]="out", "Take_out",Table1[[#This Row],[in_or_out]]="in", "Dine_in", Table1[[#This Row],[in_or_out]]="","Unknown")</f>
        <v>Unknown</v>
      </c>
    </row>
    <row r="429" spans="1:8" ht="15.75">
      <c r="A429" s="18">
        <v>428</v>
      </c>
      <c r="B429" s="7" t="s">
        <v>513</v>
      </c>
      <c r="C429" s="12">
        <v>45339.300694444442</v>
      </c>
      <c r="D429" s="7" t="s">
        <v>56</v>
      </c>
      <c r="E429" s="7">
        <v>1</v>
      </c>
      <c r="F429" s="7" t="s">
        <v>514</v>
      </c>
      <c r="G429" s="19" t="s">
        <v>14</v>
      </c>
      <c r="H429" s="7" t="str" cm="1">
        <f t="array" ref="H429">_xlfn.IFS(Table1[[#This Row],[in_or_out]]="out", "Take_out",Table1[[#This Row],[in_or_out]]="in", "Dine_in", Table1[[#This Row],[in_or_out]]="","Unknown")</f>
        <v>Dine_in</v>
      </c>
    </row>
    <row r="430" spans="1:8" ht="15.75">
      <c r="A430" s="18">
        <v>429</v>
      </c>
      <c r="B430" s="7" t="s">
        <v>515</v>
      </c>
      <c r="C430" s="12">
        <v>45339.304166666669</v>
      </c>
      <c r="D430" s="7" t="s">
        <v>160</v>
      </c>
      <c r="E430" s="7">
        <v>1</v>
      </c>
      <c r="F430" s="7" t="s">
        <v>320</v>
      </c>
      <c r="G430" s="19" t="s">
        <v>10</v>
      </c>
      <c r="H430" s="7" t="str" cm="1">
        <f t="array" ref="H430">_xlfn.IFS(Table1[[#This Row],[in_or_out]]="out", "Take_out",Table1[[#This Row],[in_or_out]]="in", "Dine_in", Table1[[#This Row],[in_or_out]]="","Unknown")</f>
        <v>Take_out</v>
      </c>
    </row>
    <row r="431" spans="1:8" ht="15.75">
      <c r="A431" s="18">
        <v>430</v>
      </c>
      <c r="B431" s="7" t="s">
        <v>515</v>
      </c>
      <c r="C431" s="12">
        <v>45339.304166666669</v>
      </c>
      <c r="D431" s="7" t="s">
        <v>30</v>
      </c>
      <c r="E431" s="7">
        <v>1</v>
      </c>
      <c r="F431" s="7" t="s">
        <v>320</v>
      </c>
      <c r="G431" s="19" t="s">
        <v>789</v>
      </c>
      <c r="H431" s="7" t="str" cm="1">
        <f t="array" ref="H431">_xlfn.IFS(Table1[[#This Row],[in_or_out]]="out", "Take_out",Table1[[#This Row],[in_or_out]]="in", "Dine_in", Table1[[#This Row],[in_or_out]]="","Unknown")</f>
        <v>Unknown</v>
      </c>
    </row>
    <row r="432" spans="1:8" ht="15.75">
      <c r="A432" s="18">
        <v>431</v>
      </c>
      <c r="B432" s="7" t="s">
        <v>516</v>
      </c>
      <c r="C432" s="12">
        <v>45339.307638888888</v>
      </c>
      <c r="D432" s="7" t="s">
        <v>48</v>
      </c>
      <c r="E432" s="7">
        <v>1</v>
      </c>
      <c r="F432" s="7" t="s">
        <v>322</v>
      </c>
      <c r="G432" s="19" t="s">
        <v>14</v>
      </c>
      <c r="H432" s="7" t="str" cm="1">
        <f t="array" ref="H432">_xlfn.IFS(Table1[[#This Row],[in_or_out]]="out", "Take_out",Table1[[#This Row],[in_or_out]]="in", "Dine_in", Table1[[#This Row],[in_or_out]]="","Unknown")</f>
        <v>Dine_in</v>
      </c>
    </row>
    <row r="433" spans="1:8" ht="15.75">
      <c r="A433" s="18">
        <v>432</v>
      </c>
      <c r="B433" s="7" t="s">
        <v>517</v>
      </c>
      <c r="C433" s="12">
        <v>45339.311111111114</v>
      </c>
      <c r="D433" s="7" t="s">
        <v>12</v>
      </c>
      <c r="E433" s="7">
        <v>1</v>
      </c>
      <c r="F433" s="7" t="s">
        <v>360</v>
      </c>
      <c r="G433" s="19" t="s">
        <v>10</v>
      </c>
      <c r="H433" s="7" t="str" cm="1">
        <f t="array" ref="H433">_xlfn.IFS(Table1[[#This Row],[in_or_out]]="out", "Take_out",Table1[[#This Row],[in_or_out]]="in", "Dine_in", Table1[[#This Row],[in_or_out]]="","Unknown")</f>
        <v>Take_out</v>
      </c>
    </row>
    <row r="434" spans="1:8" ht="15.75">
      <c r="A434" s="18">
        <v>433</v>
      </c>
      <c r="B434" s="7" t="s">
        <v>517</v>
      </c>
      <c r="C434" s="12">
        <v>45339.311111111114</v>
      </c>
      <c r="D434" s="7" t="s">
        <v>45</v>
      </c>
      <c r="E434" s="7">
        <v>1</v>
      </c>
      <c r="F434" s="7" t="s">
        <v>360</v>
      </c>
      <c r="G434" s="19" t="s">
        <v>789</v>
      </c>
      <c r="H434" s="7" t="str" cm="1">
        <f t="array" ref="H434">_xlfn.IFS(Table1[[#This Row],[in_or_out]]="out", "Take_out",Table1[[#This Row],[in_or_out]]="in", "Dine_in", Table1[[#This Row],[in_or_out]]="","Unknown")</f>
        <v>Unknown</v>
      </c>
    </row>
    <row r="435" spans="1:8" ht="15.75">
      <c r="A435" s="18">
        <v>434</v>
      </c>
      <c r="B435" s="7" t="s">
        <v>518</v>
      </c>
      <c r="C435" s="12">
        <v>45339.31527777778</v>
      </c>
      <c r="D435" s="7" t="s">
        <v>54</v>
      </c>
      <c r="E435" s="7">
        <v>1</v>
      </c>
      <c r="F435" s="7" t="s">
        <v>362</v>
      </c>
      <c r="G435" s="19" t="s">
        <v>14</v>
      </c>
      <c r="H435" s="7" t="str" cm="1">
        <f t="array" ref="H435">_xlfn.IFS(Table1[[#This Row],[in_or_out]]="out", "Take_out",Table1[[#This Row],[in_or_out]]="in", "Dine_in", Table1[[#This Row],[in_or_out]]="","Unknown")</f>
        <v>Dine_in</v>
      </c>
    </row>
    <row r="436" spans="1:8" ht="15.75">
      <c r="A436" s="18">
        <v>435</v>
      </c>
      <c r="B436" s="7" t="s">
        <v>519</v>
      </c>
      <c r="C436" s="12">
        <v>45339.318749999999</v>
      </c>
      <c r="D436" s="7" t="s">
        <v>28</v>
      </c>
      <c r="E436" s="7">
        <v>1</v>
      </c>
      <c r="F436" s="7" t="s">
        <v>364</v>
      </c>
      <c r="G436" s="19" t="s">
        <v>10</v>
      </c>
      <c r="H436" s="7" t="str" cm="1">
        <f t="array" ref="H436">_xlfn.IFS(Table1[[#This Row],[in_or_out]]="out", "Take_out",Table1[[#This Row],[in_or_out]]="in", "Dine_in", Table1[[#This Row],[in_or_out]]="","Unknown")</f>
        <v>Take_out</v>
      </c>
    </row>
    <row r="437" spans="1:8" ht="15.75">
      <c r="A437" s="18">
        <v>436</v>
      </c>
      <c r="B437" s="7" t="s">
        <v>520</v>
      </c>
      <c r="C437" s="12">
        <v>45339.322222222225</v>
      </c>
      <c r="D437" s="7" t="s">
        <v>52</v>
      </c>
      <c r="E437" s="7">
        <v>1</v>
      </c>
      <c r="F437" s="7" t="s">
        <v>366</v>
      </c>
      <c r="G437" s="19" t="s">
        <v>14</v>
      </c>
      <c r="H437" s="7" t="str" cm="1">
        <f t="array" ref="H437">_xlfn.IFS(Table1[[#This Row],[in_or_out]]="out", "Take_out",Table1[[#This Row],[in_or_out]]="in", "Dine_in", Table1[[#This Row],[in_or_out]]="","Unknown")</f>
        <v>Dine_in</v>
      </c>
    </row>
    <row r="438" spans="1:8" ht="15.75">
      <c r="A438" s="18">
        <v>437</v>
      </c>
      <c r="B438" s="7" t="s">
        <v>520</v>
      </c>
      <c r="C438" s="12">
        <v>45339.322222222225</v>
      </c>
      <c r="D438" s="7" t="s">
        <v>34</v>
      </c>
      <c r="E438" s="7">
        <v>1</v>
      </c>
      <c r="F438" s="7" t="s">
        <v>366</v>
      </c>
      <c r="G438" s="19" t="s">
        <v>789</v>
      </c>
      <c r="H438" s="7" t="str" cm="1">
        <f t="array" ref="H438">_xlfn.IFS(Table1[[#This Row],[in_or_out]]="out", "Take_out",Table1[[#This Row],[in_or_out]]="in", "Dine_in", Table1[[#This Row],[in_or_out]]="","Unknown")</f>
        <v>Unknown</v>
      </c>
    </row>
    <row r="439" spans="1:8" ht="15.75">
      <c r="A439" s="18">
        <v>438</v>
      </c>
      <c r="B439" s="7" t="s">
        <v>521</v>
      </c>
      <c r="C439" s="12">
        <v>45339.325694444444</v>
      </c>
      <c r="D439" s="7" t="s">
        <v>153</v>
      </c>
      <c r="E439" s="7">
        <v>1</v>
      </c>
      <c r="F439" s="7" t="s">
        <v>437</v>
      </c>
      <c r="G439" s="19" t="s">
        <v>10</v>
      </c>
      <c r="H439" s="7" t="str" cm="1">
        <f t="array" ref="H439">_xlfn.IFS(Table1[[#This Row],[in_or_out]]="out", "Take_out",Table1[[#This Row],[in_or_out]]="in", "Dine_in", Table1[[#This Row],[in_or_out]]="","Unknown")</f>
        <v>Take_out</v>
      </c>
    </row>
    <row r="440" spans="1:8" ht="15.75">
      <c r="A440" s="18">
        <v>439</v>
      </c>
      <c r="B440" s="7" t="s">
        <v>522</v>
      </c>
      <c r="C440" s="12">
        <v>45339.32916666667</v>
      </c>
      <c r="D440" s="7" t="s">
        <v>42</v>
      </c>
      <c r="E440" s="7">
        <v>1</v>
      </c>
      <c r="F440" s="7" t="s">
        <v>523</v>
      </c>
      <c r="G440" s="19" t="s">
        <v>14</v>
      </c>
      <c r="H440" s="7" t="str" cm="1">
        <f t="array" ref="H440">_xlfn.IFS(Table1[[#This Row],[in_or_out]]="out", "Take_out",Table1[[#This Row],[in_or_out]]="in", "Dine_in", Table1[[#This Row],[in_or_out]]="","Unknown")</f>
        <v>Dine_in</v>
      </c>
    </row>
    <row r="441" spans="1:8" ht="15.75">
      <c r="A441" s="18">
        <v>440</v>
      </c>
      <c r="B441" s="7" t="s">
        <v>524</v>
      </c>
      <c r="C441" s="12">
        <v>45339.332638888889</v>
      </c>
      <c r="D441" s="7" t="s">
        <v>26</v>
      </c>
      <c r="E441" s="7">
        <v>1</v>
      </c>
      <c r="F441" s="7" t="s">
        <v>525</v>
      </c>
      <c r="G441" s="19" t="s">
        <v>10</v>
      </c>
      <c r="H441" s="7" t="str" cm="1">
        <f t="array" ref="H441">_xlfn.IFS(Table1[[#This Row],[in_or_out]]="out", "Take_out",Table1[[#This Row],[in_or_out]]="in", "Dine_in", Table1[[#This Row],[in_or_out]]="","Unknown")</f>
        <v>Take_out</v>
      </c>
    </row>
    <row r="442" spans="1:8" ht="15.75">
      <c r="A442" s="18">
        <v>441</v>
      </c>
      <c r="B442" s="7" t="s">
        <v>524</v>
      </c>
      <c r="C442" s="12">
        <v>45339.332638888889</v>
      </c>
      <c r="D442" s="7" t="s">
        <v>8</v>
      </c>
      <c r="E442" s="7">
        <v>1</v>
      </c>
      <c r="F442" s="7" t="s">
        <v>525</v>
      </c>
      <c r="G442" s="19" t="s">
        <v>789</v>
      </c>
      <c r="H442" s="7" t="str" cm="1">
        <f t="array" ref="H442">_xlfn.IFS(Table1[[#This Row],[in_or_out]]="out", "Take_out",Table1[[#This Row],[in_or_out]]="in", "Dine_in", Table1[[#This Row],[in_or_out]]="","Unknown")</f>
        <v>Unknown</v>
      </c>
    </row>
    <row r="443" spans="1:8" ht="15.75">
      <c r="A443" s="18">
        <v>442</v>
      </c>
      <c r="B443" s="7" t="s">
        <v>526</v>
      </c>
      <c r="C443" s="12">
        <v>45339.336111111108</v>
      </c>
      <c r="D443" s="7" t="s">
        <v>38</v>
      </c>
      <c r="E443" s="7">
        <v>1</v>
      </c>
      <c r="F443" s="7" t="s">
        <v>287</v>
      </c>
      <c r="G443" s="19" t="s">
        <v>14</v>
      </c>
      <c r="H443" s="7" t="str" cm="1">
        <f t="array" ref="H443">_xlfn.IFS(Table1[[#This Row],[in_or_out]]="out", "Take_out",Table1[[#This Row],[in_or_out]]="in", "Dine_in", Table1[[#This Row],[in_or_out]]="","Unknown")</f>
        <v>Dine_in</v>
      </c>
    </row>
    <row r="444" spans="1:8" ht="15.75">
      <c r="A444" s="18">
        <v>443</v>
      </c>
      <c r="B444" s="7" t="s">
        <v>527</v>
      </c>
      <c r="C444" s="12">
        <v>45339.340277777781</v>
      </c>
      <c r="D444" s="7" t="s">
        <v>21</v>
      </c>
      <c r="E444" s="7">
        <v>1</v>
      </c>
      <c r="F444" s="7" t="s">
        <v>528</v>
      </c>
      <c r="G444" s="19" t="s">
        <v>10</v>
      </c>
      <c r="H444" s="7" t="str" cm="1">
        <f t="array" ref="H444">_xlfn.IFS(Table1[[#This Row],[in_or_out]]="out", "Take_out",Table1[[#This Row],[in_or_out]]="in", "Dine_in", Table1[[#This Row],[in_or_out]]="","Unknown")</f>
        <v>Take_out</v>
      </c>
    </row>
    <row r="445" spans="1:8" ht="15.75">
      <c r="A445" s="18">
        <v>444</v>
      </c>
      <c r="B445" s="7" t="s">
        <v>529</v>
      </c>
      <c r="C445" s="12">
        <v>45339.34375</v>
      </c>
      <c r="D445" s="7" t="s">
        <v>32</v>
      </c>
      <c r="E445" s="7">
        <v>1</v>
      </c>
      <c r="F445" s="7" t="s">
        <v>530</v>
      </c>
      <c r="G445" s="19" t="s">
        <v>14</v>
      </c>
      <c r="H445" s="7" t="str" cm="1">
        <f t="array" ref="H445">_xlfn.IFS(Table1[[#This Row],[in_or_out]]="out", "Take_out",Table1[[#This Row],[in_or_out]]="in", "Dine_in", Table1[[#This Row],[in_or_out]]="","Unknown")</f>
        <v>Dine_in</v>
      </c>
    </row>
    <row r="446" spans="1:8" ht="15.75">
      <c r="A446" s="18">
        <v>445</v>
      </c>
      <c r="B446" s="7" t="s">
        <v>529</v>
      </c>
      <c r="C446" s="12">
        <v>45339.34375</v>
      </c>
      <c r="D446" s="7" t="s">
        <v>50</v>
      </c>
      <c r="E446" s="7">
        <v>1</v>
      </c>
      <c r="F446" s="7" t="s">
        <v>530</v>
      </c>
      <c r="G446" s="19" t="s">
        <v>789</v>
      </c>
      <c r="H446" s="7" t="str" cm="1">
        <f t="array" ref="H446">_xlfn.IFS(Table1[[#This Row],[in_or_out]]="out", "Take_out",Table1[[#This Row],[in_or_out]]="in", "Dine_in", Table1[[#This Row],[in_or_out]]="","Unknown")</f>
        <v>Unknown</v>
      </c>
    </row>
    <row r="447" spans="1:8" ht="15.75">
      <c r="A447" s="18">
        <v>446</v>
      </c>
      <c r="B447" s="7" t="s">
        <v>531</v>
      </c>
      <c r="C447" s="12">
        <v>45339.347222222219</v>
      </c>
      <c r="D447" s="7" t="s">
        <v>123</v>
      </c>
      <c r="E447" s="7">
        <v>1</v>
      </c>
      <c r="F447" s="7" t="s">
        <v>532</v>
      </c>
      <c r="G447" s="19" t="s">
        <v>10</v>
      </c>
      <c r="H447" s="7" t="str" cm="1">
        <f t="array" ref="H447">_xlfn.IFS(Table1[[#This Row],[in_or_out]]="out", "Take_out",Table1[[#This Row],[in_or_out]]="in", "Dine_in", Table1[[#This Row],[in_or_out]]="","Unknown")</f>
        <v>Take_out</v>
      </c>
    </row>
    <row r="448" spans="1:8" ht="15.75">
      <c r="A448" s="18">
        <v>447</v>
      </c>
      <c r="B448" s="7" t="s">
        <v>533</v>
      </c>
      <c r="C448" s="12">
        <v>45339.350694444445</v>
      </c>
      <c r="D448" s="7" t="s">
        <v>166</v>
      </c>
      <c r="E448" s="7">
        <v>1</v>
      </c>
      <c r="F448" s="7" t="s">
        <v>490</v>
      </c>
      <c r="G448" s="19" t="s">
        <v>14</v>
      </c>
      <c r="H448" s="7" t="str" cm="1">
        <f t="array" ref="H448">_xlfn.IFS(Table1[[#This Row],[in_or_out]]="out", "Take_out",Table1[[#This Row],[in_or_out]]="in", "Dine_in", Table1[[#This Row],[in_or_out]]="","Unknown")</f>
        <v>Dine_in</v>
      </c>
    </row>
    <row r="449" spans="1:8" ht="15.75">
      <c r="A449" s="18">
        <v>448</v>
      </c>
      <c r="B449" s="7" t="s">
        <v>534</v>
      </c>
      <c r="C449" s="12">
        <v>45339.354166666664</v>
      </c>
      <c r="D449" s="7" t="s">
        <v>110</v>
      </c>
      <c r="E449" s="7">
        <v>1</v>
      </c>
      <c r="F449" s="7" t="s">
        <v>535</v>
      </c>
      <c r="G449" s="19" t="s">
        <v>10</v>
      </c>
      <c r="H449" s="7" t="str" cm="1">
        <f t="array" ref="H449">_xlfn.IFS(Table1[[#This Row],[in_or_out]]="out", "Take_out",Table1[[#This Row],[in_or_out]]="in", "Dine_in", Table1[[#This Row],[in_or_out]]="","Unknown")</f>
        <v>Take_out</v>
      </c>
    </row>
    <row r="450" spans="1:8" ht="15.75">
      <c r="A450" s="18">
        <v>449</v>
      </c>
      <c r="B450" s="7" t="s">
        <v>534</v>
      </c>
      <c r="C450" s="12">
        <v>45339.354166666664</v>
      </c>
      <c r="D450" s="7" t="s">
        <v>18</v>
      </c>
      <c r="E450" s="7">
        <v>1</v>
      </c>
      <c r="F450" s="7" t="s">
        <v>535</v>
      </c>
      <c r="G450" s="19" t="s">
        <v>789</v>
      </c>
      <c r="H450" s="7" t="str" cm="1">
        <f t="array" ref="H450">_xlfn.IFS(Table1[[#This Row],[in_or_out]]="out", "Take_out",Table1[[#This Row],[in_or_out]]="in", "Dine_in", Table1[[#This Row],[in_or_out]]="","Unknown")</f>
        <v>Unknown</v>
      </c>
    </row>
    <row r="451" spans="1:8" ht="15.75">
      <c r="A451" s="18">
        <v>450</v>
      </c>
      <c r="B451" s="7" t="s">
        <v>536</v>
      </c>
      <c r="C451" s="12">
        <v>45339.357638888891</v>
      </c>
      <c r="D451" s="7" t="s">
        <v>59</v>
      </c>
      <c r="E451" s="7">
        <v>1</v>
      </c>
      <c r="F451" s="7" t="s">
        <v>537</v>
      </c>
      <c r="G451" s="19" t="s">
        <v>14</v>
      </c>
      <c r="H451" s="7" t="str" cm="1">
        <f t="array" ref="H451">_xlfn.IFS(Table1[[#This Row],[in_or_out]]="out", "Take_out",Table1[[#This Row],[in_or_out]]="in", "Dine_in", Table1[[#This Row],[in_or_out]]="","Unknown")</f>
        <v>Dine_in</v>
      </c>
    </row>
    <row r="452" spans="1:8" ht="15.75">
      <c r="A452" s="18">
        <v>451</v>
      </c>
      <c r="B452" s="7" t="s">
        <v>538</v>
      </c>
      <c r="C452" s="12">
        <v>45339.361111111109</v>
      </c>
      <c r="D452" s="7" t="s">
        <v>142</v>
      </c>
      <c r="E452" s="7">
        <v>1</v>
      </c>
      <c r="F452" s="7" t="s">
        <v>539</v>
      </c>
      <c r="G452" s="19" t="s">
        <v>10</v>
      </c>
      <c r="H452" s="7" t="str" cm="1">
        <f t="array" ref="H452">_xlfn.IFS(Table1[[#This Row],[in_or_out]]="out", "Take_out",Table1[[#This Row],[in_or_out]]="in", "Dine_in", Table1[[#This Row],[in_or_out]]="","Unknown")</f>
        <v>Take_out</v>
      </c>
    </row>
    <row r="453" spans="1:8" ht="15.75">
      <c r="A453" s="18">
        <v>452</v>
      </c>
      <c r="B453" s="7" t="s">
        <v>540</v>
      </c>
      <c r="C453" s="12">
        <v>45339.364583333336</v>
      </c>
      <c r="D453" s="7" t="s">
        <v>89</v>
      </c>
      <c r="E453" s="7">
        <v>1</v>
      </c>
      <c r="F453" s="7" t="s">
        <v>498</v>
      </c>
      <c r="G453" s="19" t="s">
        <v>14</v>
      </c>
      <c r="H453" s="7" t="str" cm="1">
        <f t="array" ref="H453">_xlfn.IFS(Table1[[#This Row],[in_or_out]]="out", "Take_out",Table1[[#This Row],[in_or_out]]="in", "Dine_in", Table1[[#This Row],[in_or_out]]="","Unknown")</f>
        <v>Dine_in</v>
      </c>
    </row>
    <row r="454" spans="1:8" ht="15.75">
      <c r="A454" s="18">
        <v>453</v>
      </c>
      <c r="B454" s="7" t="s">
        <v>541</v>
      </c>
      <c r="C454" s="12">
        <v>45339.368750000001</v>
      </c>
      <c r="D454" s="7" t="s">
        <v>45</v>
      </c>
      <c r="E454" s="7">
        <v>1</v>
      </c>
      <c r="F454" s="7" t="s">
        <v>459</v>
      </c>
      <c r="G454" s="19" t="s">
        <v>10</v>
      </c>
      <c r="H454" s="7" t="str" cm="1">
        <f t="array" ref="H454">_xlfn.IFS(Table1[[#This Row],[in_or_out]]="out", "Take_out",Table1[[#This Row],[in_or_out]]="in", "Dine_in", Table1[[#This Row],[in_or_out]]="","Unknown")</f>
        <v>Take_out</v>
      </c>
    </row>
    <row r="455" spans="1:8" ht="15.75">
      <c r="A455" s="18">
        <v>454</v>
      </c>
      <c r="B455" s="7" t="s">
        <v>541</v>
      </c>
      <c r="C455" s="12">
        <v>45339.368750000001</v>
      </c>
      <c r="D455" s="7" t="s">
        <v>36</v>
      </c>
      <c r="E455" s="7">
        <v>1</v>
      </c>
      <c r="F455" s="7" t="s">
        <v>459</v>
      </c>
      <c r="G455" s="19" t="s">
        <v>789</v>
      </c>
      <c r="H455" s="7" t="str" cm="1">
        <f t="array" ref="H455">_xlfn.IFS(Table1[[#This Row],[in_or_out]]="out", "Take_out",Table1[[#This Row],[in_or_out]]="in", "Dine_in", Table1[[#This Row],[in_or_out]]="","Unknown")</f>
        <v>Unknown</v>
      </c>
    </row>
    <row r="456" spans="1:8" ht="15.75">
      <c r="A456" s="18">
        <v>455</v>
      </c>
      <c r="B456" s="7" t="s">
        <v>542</v>
      </c>
      <c r="C456" s="12">
        <v>45339.37222222222</v>
      </c>
      <c r="D456" s="7" t="s">
        <v>24</v>
      </c>
      <c r="E456" s="7">
        <v>1</v>
      </c>
      <c r="F456" s="7" t="s">
        <v>543</v>
      </c>
      <c r="G456" s="19" t="s">
        <v>14</v>
      </c>
      <c r="H456" s="7" t="str" cm="1">
        <f t="array" ref="H456">_xlfn.IFS(Table1[[#This Row],[in_or_out]]="out", "Take_out",Table1[[#This Row],[in_or_out]]="in", "Dine_in", Table1[[#This Row],[in_or_out]]="","Unknown")</f>
        <v>Dine_in</v>
      </c>
    </row>
    <row r="457" spans="1:8" ht="15.75">
      <c r="A457" s="18">
        <v>456</v>
      </c>
      <c r="B457" s="7" t="s">
        <v>544</v>
      </c>
      <c r="C457" s="12">
        <v>45339.375694444447</v>
      </c>
      <c r="D457" s="7" t="s">
        <v>67</v>
      </c>
      <c r="E457" s="7">
        <v>1</v>
      </c>
      <c r="F457" s="7" t="s">
        <v>545</v>
      </c>
      <c r="G457" s="19" t="s">
        <v>10</v>
      </c>
      <c r="H457" s="7" t="str" cm="1">
        <f t="array" ref="H457">_xlfn.IFS(Table1[[#This Row],[in_or_out]]="out", "Take_out",Table1[[#This Row],[in_or_out]]="in", "Dine_in", Table1[[#This Row],[in_or_out]]="","Unknown")</f>
        <v>Take_out</v>
      </c>
    </row>
    <row r="458" spans="1:8" ht="15.75">
      <c r="A458" s="18">
        <v>457</v>
      </c>
      <c r="B458" s="7" t="s">
        <v>546</v>
      </c>
      <c r="C458" s="12">
        <v>45339.379166666666</v>
      </c>
      <c r="D458" s="7" t="s">
        <v>56</v>
      </c>
      <c r="E458" s="7">
        <v>1</v>
      </c>
      <c r="F458" s="7" t="s">
        <v>547</v>
      </c>
      <c r="G458" s="19" t="s">
        <v>14</v>
      </c>
      <c r="H458" s="7" t="str" cm="1">
        <f t="array" ref="H458">_xlfn.IFS(Table1[[#This Row],[in_or_out]]="out", "Take_out",Table1[[#This Row],[in_or_out]]="in", "Dine_in", Table1[[#This Row],[in_or_out]]="","Unknown")</f>
        <v>Dine_in</v>
      </c>
    </row>
    <row r="459" spans="1:8" ht="15.75">
      <c r="A459" s="18">
        <v>458</v>
      </c>
      <c r="B459" s="7" t="s">
        <v>546</v>
      </c>
      <c r="C459" s="12">
        <v>45339.379166666666</v>
      </c>
      <c r="D459" s="7" t="s">
        <v>30</v>
      </c>
      <c r="E459" s="7">
        <v>1</v>
      </c>
      <c r="F459" s="7" t="s">
        <v>547</v>
      </c>
      <c r="G459" s="19" t="s">
        <v>789</v>
      </c>
      <c r="H459" s="7" t="str" cm="1">
        <f t="array" ref="H459">_xlfn.IFS(Table1[[#This Row],[in_or_out]]="out", "Take_out",Table1[[#This Row],[in_or_out]]="in", "Dine_in", Table1[[#This Row],[in_or_out]]="","Unknown")</f>
        <v>Unknown</v>
      </c>
    </row>
    <row r="460" spans="1:8" ht="15.75">
      <c r="A460" s="18">
        <v>459</v>
      </c>
      <c r="B460" s="7" t="s">
        <v>548</v>
      </c>
      <c r="C460" s="12">
        <v>45339.382638888892</v>
      </c>
      <c r="D460" s="7" t="s">
        <v>48</v>
      </c>
      <c r="E460" s="7">
        <v>1</v>
      </c>
      <c r="F460" s="7" t="s">
        <v>549</v>
      </c>
      <c r="G460" s="19" t="s">
        <v>10</v>
      </c>
      <c r="H460" s="7" t="str" cm="1">
        <f t="array" ref="H460">_xlfn.IFS(Table1[[#This Row],[in_or_out]]="out", "Take_out",Table1[[#This Row],[in_or_out]]="in", "Dine_in", Table1[[#This Row],[in_or_out]]="","Unknown")</f>
        <v>Take_out</v>
      </c>
    </row>
    <row r="461" spans="1:8" ht="15.75">
      <c r="A461" s="18">
        <v>460</v>
      </c>
      <c r="B461" s="7" t="s">
        <v>550</v>
      </c>
      <c r="C461" s="12">
        <v>45339.386111111111</v>
      </c>
      <c r="D461" s="7" t="s">
        <v>160</v>
      </c>
      <c r="E461" s="7">
        <v>1</v>
      </c>
      <c r="F461" s="7" t="s">
        <v>137</v>
      </c>
      <c r="G461" s="19" t="s">
        <v>14</v>
      </c>
      <c r="H461" s="7" t="str" cm="1">
        <f t="array" ref="H461">_xlfn.IFS(Table1[[#This Row],[in_or_out]]="out", "Take_out",Table1[[#This Row],[in_or_out]]="in", "Dine_in", Table1[[#This Row],[in_or_out]]="","Unknown")</f>
        <v>Dine_in</v>
      </c>
    </row>
    <row r="462" spans="1:8" ht="15.75">
      <c r="A462" s="18">
        <v>461</v>
      </c>
      <c r="B462" s="7" t="s">
        <v>551</v>
      </c>
      <c r="C462" s="12">
        <v>45339.38958333333</v>
      </c>
      <c r="D462" s="7" t="s">
        <v>52</v>
      </c>
      <c r="E462" s="7">
        <v>1</v>
      </c>
      <c r="F462" s="7" t="s">
        <v>552</v>
      </c>
      <c r="G462" s="19" t="s">
        <v>10</v>
      </c>
      <c r="H462" s="7" t="str" cm="1">
        <f t="array" ref="H462">_xlfn.IFS(Table1[[#This Row],[in_or_out]]="out", "Take_out",Table1[[#This Row],[in_or_out]]="in", "Dine_in", Table1[[#This Row],[in_or_out]]="","Unknown")</f>
        <v>Take_out</v>
      </c>
    </row>
    <row r="463" spans="1:8" ht="15.75">
      <c r="A463" s="18">
        <v>462</v>
      </c>
      <c r="B463" s="7" t="s">
        <v>553</v>
      </c>
      <c r="C463" s="12">
        <v>45339.393750000003</v>
      </c>
      <c r="D463" s="7" t="s">
        <v>34</v>
      </c>
      <c r="E463" s="7">
        <v>1</v>
      </c>
      <c r="F463" s="7" t="s">
        <v>427</v>
      </c>
      <c r="G463" s="19" t="s">
        <v>14</v>
      </c>
      <c r="H463" s="7" t="str" cm="1">
        <f t="array" ref="H463">_xlfn.IFS(Table1[[#This Row],[in_or_out]]="out", "Take_out",Table1[[#This Row],[in_or_out]]="in", "Dine_in", Table1[[#This Row],[in_or_out]]="","Unknown")</f>
        <v>Dine_in</v>
      </c>
    </row>
    <row r="464" spans="1:8" ht="15.75">
      <c r="A464" s="18">
        <v>463</v>
      </c>
      <c r="B464" s="7" t="s">
        <v>553</v>
      </c>
      <c r="C464" s="12">
        <v>45339.393750000003</v>
      </c>
      <c r="D464" s="7" t="s">
        <v>54</v>
      </c>
      <c r="E464" s="7">
        <v>1</v>
      </c>
      <c r="F464" s="7" t="s">
        <v>427</v>
      </c>
      <c r="G464" s="19" t="s">
        <v>789</v>
      </c>
      <c r="H464" s="7" t="str" cm="1">
        <f t="array" ref="H464">_xlfn.IFS(Table1[[#This Row],[in_or_out]]="out", "Take_out",Table1[[#This Row],[in_or_out]]="in", "Dine_in", Table1[[#This Row],[in_or_out]]="","Unknown")</f>
        <v>Unknown</v>
      </c>
    </row>
    <row r="465" spans="1:8" ht="15.75">
      <c r="A465" s="18">
        <v>464</v>
      </c>
      <c r="B465" s="7" t="s">
        <v>554</v>
      </c>
      <c r="C465" s="12">
        <v>45339.397222222222</v>
      </c>
      <c r="D465" s="7" t="s">
        <v>28</v>
      </c>
      <c r="E465" s="7">
        <v>1</v>
      </c>
      <c r="F465" s="7" t="s">
        <v>555</v>
      </c>
      <c r="G465" s="19" t="s">
        <v>10</v>
      </c>
      <c r="H465" s="7" t="str" cm="1">
        <f t="array" ref="H465">_xlfn.IFS(Table1[[#This Row],[in_or_out]]="out", "Take_out",Table1[[#This Row],[in_or_out]]="in", "Dine_in", Table1[[#This Row],[in_or_out]]="","Unknown")</f>
        <v>Take_out</v>
      </c>
    </row>
    <row r="466" spans="1:8" ht="15.75">
      <c r="A466" s="18">
        <v>465</v>
      </c>
      <c r="B466" s="7" t="s">
        <v>556</v>
      </c>
      <c r="C466" s="12">
        <v>45339.400694444441</v>
      </c>
      <c r="D466" s="7" t="s">
        <v>38</v>
      </c>
      <c r="E466" s="7">
        <v>1</v>
      </c>
      <c r="F466" s="7" t="s">
        <v>557</v>
      </c>
      <c r="G466" s="19" t="s">
        <v>14</v>
      </c>
      <c r="H466" s="7" t="str" cm="1">
        <f t="array" ref="H466">_xlfn.IFS(Table1[[#This Row],[in_or_out]]="out", "Take_out",Table1[[#This Row],[in_or_out]]="in", "Dine_in", Table1[[#This Row],[in_or_out]]="","Unknown")</f>
        <v>Dine_in</v>
      </c>
    </row>
    <row r="467" spans="1:8" ht="15.75">
      <c r="A467" s="18">
        <v>466</v>
      </c>
      <c r="B467" s="7" t="s">
        <v>558</v>
      </c>
      <c r="C467" s="12">
        <v>45339.404166666667</v>
      </c>
      <c r="D467" s="7" t="s">
        <v>153</v>
      </c>
      <c r="E467" s="7">
        <v>1</v>
      </c>
      <c r="F467" s="7" t="s">
        <v>559</v>
      </c>
      <c r="G467" s="19" t="s">
        <v>10</v>
      </c>
      <c r="H467" s="7" t="str" cm="1">
        <f t="array" ref="H467">_xlfn.IFS(Table1[[#This Row],[in_or_out]]="out", "Take_out",Table1[[#This Row],[in_or_out]]="in", "Dine_in", Table1[[#This Row],[in_or_out]]="","Unknown")</f>
        <v>Take_out</v>
      </c>
    </row>
    <row r="468" spans="1:8" ht="15.75">
      <c r="A468" s="18">
        <v>467</v>
      </c>
      <c r="B468" s="7" t="s">
        <v>560</v>
      </c>
      <c r="C468" s="12">
        <v>45339.407638888886</v>
      </c>
      <c r="D468" s="7" t="s">
        <v>42</v>
      </c>
      <c r="E468" s="7">
        <v>1</v>
      </c>
      <c r="F468" s="7" t="s">
        <v>561</v>
      </c>
      <c r="G468" s="19" t="s">
        <v>14</v>
      </c>
      <c r="H468" s="7" t="str" cm="1">
        <f t="array" ref="H468">_xlfn.IFS(Table1[[#This Row],[in_or_out]]="out", "Take_out",Table1[[#This Row],[in_or_out]]="in", "Dine_in", Table1[[#This Row],[in_or_out]]="","Unknown")</f>
        <v>Dine_in</v>
      </c>
    </row>
    <row r="469" spans="1:8" ht="15.75">
      <c r="A469" s="18">
        <v>468</v>
      </c>
      <c r="B469" s="7" t="s">
        <v>562</v>
      </c>
      <c r="C469" s="12">
        <v>45339.411111111112</v>
      </c>
      <c r="D469" s="7" t="s">
        <v>26</v>
      </c>
      <c r="E469" s="7">
        <v>1</v>
      </c>
      <c r="F469" s="7" t="s">
        <v>563</v>
      </c>
      <c r="G469" s="19" t="s">
        <v>10</v>
      </c>
      <c r="H469" s="7" t="str" cm="1">
        <f t="array" ref="H469">_xlfn.IFS(Table1[[#This Row],[in_or_out]]="out", "Take_out",Table1[[#This Row],[in_or_out]]="in", "Dine_in", Table1[[#This Row],[in_or_out]]="","Unknown")</f>
        <v>Take_out</v>
      </c>
    </row>
    <row r="470" spans="1:8" ht="15.75">
      <c r="A470" s="18">
        <v>469</v>
      </c>
      <c r="B470" s="7" t="s">
        <v>562</v>
      </c>
      <c r="C470" s="12">
        <v>45339.411111111112</v>
      </c>
      <c r="D470" s="7" t="s">
        <v>21</v>
      </c>
      <c r="E470" s="7">
        <v>1</v>
      </c>
      <c r="F470" s="7" t="s">
        <v>563</v>
      </c>
      <c r="G470" s="19" t="s">
        <v>789</v>
      </c>
      <c r="H470" s="7" t="str" cm="1">
        <f t="array" ref="H470">_xlfn.IFS(Table1[[#This Row],[in_or_out]]="out", "Take_out",Table1[[#This Row],[in_or_out]]="in", "Dine_in", Table1[[#This Row],[in_or_out]]="","Unknown")</f>
        <v>Unknown</v>
      </c>
    </row>
    <row r="471" spans="1:8" ht="15.75">
      <c r="A471" s="18">
        <v>470</v>
      </c>
      <c r="B471" s="7" t="s">
        <v>564</v>
      </c>
      <c r="C471" s="12">
        <v>45339.414583333331</v>
      </c>
      <c r="D471" s="7" t="s">
        <v>8</v>
      </c>
      <c r="E471" s="7">
        <v>1</v>
      </c>
      <c r="F471" s="7" t="s">
        <v>366</v>
      </c>
      <c r="G471" s="19" t="s">
        <v>14</v>
      </c>
      <c r="H471" s="7" t="str" cm="1">
        <f t="array" ref="H471">_xlfn.IFS(Table1[[#This Row],[in_or_out]]="out", "Take_out",Table1[[#This Row],[in_or_out]]="in", "Dine_in", Table1[[#This Row],[in_or_out]]="","Unknown")</f>
        <v>Dine_in</v>
      </c>
    </row>
    <row r="472" spans="1:8" ht="15.75">
      <c r="A472" s="18">
        <v>471</v>
      </c>
      <c r="B472" s="7" t="s">
        <v>564</v>
      </c>
      <c r="C472" s="12">
        <v>45339.422222222223</v>
      </c>
      <c r="D472" s="7" t="s">
        <v>26</v>
      </c>
      <c r="E472" s="7">
        <v>1</v>
      </c>
      <c r="F472" s="7" t="s">
        <v>434</v>
      </c>
      <c r="G472" s="19" t="s">
        <v>789</v>
      </c>
      <c r="H472" s="7" t="str" cm="1">
        <f t="array" ref="H472">_xlfn.IFS(Table1[[#This Row],[in_or_out]]="out", "Take_out",Table1[[#This Row],[in_or_out]]="in", "Dine_in", Table1[[#This Row],[in_or_out]]="","Unknown")</f>
        <v>Unknown</v>
      </c>
    </row>
    <row r="473" spans="1:8" ht="15.75">
      <c r="A473" s="18">
        <v>472</v>
      </c>
      <c r="B473" s="7" t="s">
        <v>565</v>
      </c>
      <c r="C473" s="12">
        <v>45339.433333333334</v>
      </c>
      <c r="D473" s="7" t="s">
        <v>21</v>
      </c>
      <c r="E473" s="7">
        <v>1</v>
      </c>
      <c r="F473" s="7" t="s">
        <v>9</v>
      </c>
      <c r="G473" s="19" t="s">
        <v>14</v>
      </c>
      <c r="H473" s="7" t="str" cm="1">
        <f t="array" ref="H473">_xlfn.IFS(Table1[[#This Row],[in_or_out]]="out", "Take_out",Table1[[#This Row],[in_or_out]]="in", "Dine_in", Table1[[#This Row],[in_or_out]]="","Unknown")</f>
        <v>Dine_in</v>
      </c>
    </row>
    <row r="474" spans="1:8" ht="15.75">
      <c r="A474" s="18">
        <v>473</v>
      </c>
      <c r="B474" s="7" t="s">
        <v>565</v>
      </c>
      <c r="C474" s="12">
        <v>45339.433333333334</v>
      </c>
      <c r="D474" s="7" t="s">
        <v>8</v>
      </c>
      <c r="E474" s="7">
        <v>1</v>
      </c>
      <c r="F474" s="7" t="s">
        <v>9</v>
      </c>
      <c r="G474" s="19" t="s">
        <v>789</v>
      </c>
      <c r="H474" s="7" t="str" cm="1">
        <f t="array" ref="H474">_xlfn.IFS(Table1[[#This Row],[in_or_out]]="out", "Take_out",Table1[[#This Row],[in_or_out]]="in", "Dine_in", Table1[[#This Row],[in_or_out]]="","Unknown")</f>
        <v>Unknown</v>
      </c>
    </row>
    <row r="475" spans="1:8" ht="15.75">
      <c r="A475" s="18">
        <v>474</v>
      </c>
      <c r="B475" s="7" t="s">
        <v>566</v>
      </c>
      <c r="C475" s="12">
        <v>45339.444444444445</v>
      </c>
      <c r="D475" s="7" t="s">
        <v>59</v>
      </c>
      <c r="E475" s="7">
        <v>1</v>
      </c>
      <c r="F475" s="7" t="s">
        <v>43</v>
      </c>
      <c r="G475" s="19" t="s">
        <v>10</v>
      </c>
      <c r="H475" s="7" t="str" cm="1">
        <f t="array" ref="H475">_xlfn.IFS(Table1[[#This Row],[in_or_out]]="out", "Take_out",Table1[[#This Row],[in_or_out]]="in", "Dine_in", Table1[[#This Row],[in_or_out]]="","Unknown")</f>
        <v>Take_out</v>
      </c>
    </row>
    <row r="476" spans="1:8" ht="15.75">
      <c r="A476" s="18">
        <v>475</v>
      </c>
      <c r="B476" s="7" t="s">
        <v>567</v>
      </c>
      <c r="C476" s="12">
        <v>45339.455555555556</v>
      </c>
      <c r="D476" s="7" t="s">
        <v>123</v>
      </c>
      <c r="E476" s="7">
        <v>1</v>
      </c>
      <c r="F476" s="7" t="s">
        <v>568</v>
      </c>
      <c r="G476" s="19" t="s">
        <v>14</v>
      </c>
      <c r="H476" s="7" t="str" cm="1">
        <f t="array" ref="H476">_xlfn.IFS(Table1[[#This Row],[in_or_out]]="out", "Take_out",Table1[[#This Row],[in_or_out]]="in", "Dine_in", Table1[[#This Row],[in_or_out]]="","Unknown")</f>
        <v>Dine_in</v>
      </c>
    </row>
    <row r="477" spans="1:8" ht="15.75">
      <c r="A477" s="18">
        <v>476</v>
      </c>
      <c r="B477" s="7" t="s">
        <v>569</v>
      </c>
      <c r="C477" s="12">
        <v>45339.466666666667</v>
      </c>
      <c r="D477" s="7" t="s">
        <v>28</v>
      </c>
      <c r="E477" s="7">
        <v>1</v>
      </c>
      <c r="F477" s="7" t="s">
        <v>328</v>
      </c>
      <c r="G477" s="19" t="s">
        <v>10</v>
      </c>
      <c r="H477" s="7" t="str" cm="1">
        <f t="array" ref="H477">_xlfn.IFS(Table1[[#This Row],[in_or_out]]="out", "Take_out",Table1[[#This Row],[in_or_out]]="in", "Dine_in", Table1[[#This Row],[in_or_out]]="","Unknown")</f>
        <v>Take_out</v>
      </c>
    </row>
    <row r="478" spans="1:8" ht="15.75">
      <c r="A478" s="18">
        <v>477</v>
      </c>
      <c r="B478" s="7" t="s">
        <v>570</v>
      </c>
      <c r="C478" s="12">
        <v>45339.477777777778</v>
      </c>
      <c r="D478" s="7" t="s">
        <v>153</v>
      </c>
      <c r="E478" s="7">
        <v>1</v>
      </c>
      <c r="F478" s="7" t="s">
        <v>330</v>
      </c>
      <c r="G478" s="19" t="s">
        <v>14</v>
      </c>
      <c r="H478" s="7" t="str" cm="1">
        <f t="array" ref="H478">_xlfn.IFS(Table1[[#This Row],[in_or_out]]="out", "Take_out",Table1[[#This Row],[in_or_out]]="in", "Dine_in", Table1[[#This Row],[in_or_out]]="","Unknown")</f>
        <v>Dine_in</v>
      </c>
    </row>
    <row r="479" spans="1:8" ht="15.75">
      <c r="A479" s="18">
        <v>478</v>
      </c>
      <c r="B479" s="7" t="s">
        <v>571</v>
      </c>
      <c r="C479" s="12">
        <v>45339.488888888889</v>
      </c>
      <c r="D479" s="7" t="s">
        <v>110</v>
      </c>
      <c r="E479" s="7">
        <v>1</v>
      </c>
      <c r="F479" s="7" t="s">
        <v>332</v>
      </c>
      <c r="G479" s="19" t="s">
        <v>10</v>
      </c>
      <c r="H479" s="7" t="str" cm="1">
        <f t="array" ref="H479">_xlfn.IFS(Table1[[#This Row],[in_or_out]]="out", "Take_out",Table1[[#This Row],[in_or_out]]="in", "Dine_in", Table1[[#This Row],[in_or_out]]="","Unknown")</f>
        <v>Take_out</v>
      </c>
    </row>
    <row r="480" spans="1:8" ht="15.75">
      <c r="A480" s="18">
        <v>479</v>
      </c>
      <c r="B480" s="7" t="s">
        <v>572</v>
      </c>
      <c r="C480" s="12">
        <v>45339.5</v>
      </c>
      <c r="D480" s="7" t="s">
        <v>50</v>
      </c>
      <c r="E480" s="7">
        <v>1</v>
      </c>
      <c r="F480" s="7" t="s">
        <v>334</v>
      </c>
      <c r="G480" s="19" t="s">
        <v>14</v>
      </c>
      <c r="H480" s="7" t="str" cm="1">
        <f t="array" ref="H480">_xlfn.IFS(Table1[[#This Row],[in_or_out]]="out", "Take_out",Table1[[#This Row],[in_or_out]]="in", "Dine_in", Table1[[#This Row],[in_or_out]]="","Unknown")</f>
        <v>Dine_in</v>
      </c>
    </row>
    <row r="481" spans="1:8" ht="15.75">
      <c r="A481" s="18">
        <v>480</v>
      </c>
      <c r="B481" s="7" t="s">
        <v>573</v>
      </c>
      <c r="C481" s="12">
        <v>45339.511111111111</v>
      </c>
      <c r="D481" s="7" t="s">
        <v>67</v>
      </c>
      <c r="E481" s="7">
        <v>1</v>
      </c>
      <c r="F481" s="7" t="s">
        <v>574</v>
      </c>
      <c r="G481" s="19" t="s">
        <v>10</v>
      </c>
      <c r="H481" s="7" t="str" cm="1">
        <f t="array" ref="H481">_xlfn.IFS(Table1[[#This Row],[in_or_out]]="out", "Take_out",Table1[[#This Row],[in_or_out]]="in", "Dine_in", Table1[[#This Row],[in_or_out]]="","Unknown")</f>
        <v>Take_out</v>
      </c>
    </row>
    <row r="482" spans="1:8" ht="15.75">
      <c r="A482" s="18">
        <v>481</v>
      </c>
      <c r="B482" s="7" t="s">
        <v>575</v>
      </c>
      <c r="C482" s="12">
        <v>45339.5</v>
      </c>
      <c r="D482" s="7" t="s">
        <v>54</v>
      </c>
      <c r="E482" s="7">
        <v>1</v>
      </c>
      <c r="F482" s="7" t="s">
        <v>381</v>
      </c>
      <c r="G482" s="19" t="s">
        <v>14</v>
      </c>
      <c r="H482" s="7" t="str" cm="1">
        <f t="array" ref="H482">_xlfn.IFS(Table1[[#This Row],[in_or_out]]="out", "Take_out",Table1[[#This Row],[in_or_out]]="in", "Dine_in", Table1[[#This Row],[in_or_out]]="","Unknown")</f>
        <v>Dine_in</v>
      </c>
    </row>
    <row r="483" spans="1:8" ht="15.75">
      <c r="A483" s="18">
        <v>482</v>
      </c>
      <c r="B483" s="7" t="s">
        <v>576</v>
      </c>
      <c r="C483" s="12">
        <v>45339.504861111112</v>
      </c>
      <c r="D483" s="7" t="s">
        <v>56</v>
      </c>
      <c r="E483" s="7">
        <v>1</v>
      </c>
      <c r="F483" s="7" t="s">
        <v>452</v>
      </c>
      <c r="G483" s="19" t="s">
        <v>10</v>
      </c>
      <c r="H483" s="7" t="str" cm="1">
        <f t="array" ref="H483">_xlfn.IFS(Table1[[#This Row],[in_or_out]]="out", "Take_out",Table1[[#This Row],[in_or_out]]="in", "Dine_in", Table1[[#This Row],[in_or_out]]="","Unknown")</f>
        <v>Take_out</v>
      </c>
    </row>
    <row r="484" spans="1:8" ht="15.75">
      <c r="A484" s="18">
        <v>483</v>
      </c>
      <c r="B484" s="7" t="s">
        <v>576</v>
      </c>
      <c r="C484" s="12">
        <v>45339.504861111112</v>
      </c>
      <c r="D484" s="7" t="s">
        <v>32</v>
      </c>
      <c r="E484" s="7">
        <v>1</v>
      </c>
      <c r="F484" s="7" t="s">
        <v>452</v>
      </c>
      <c r="G484" s="19" t="s">
        <v>789</v>
      </c>
      <c r="H484" s="7" t="str" cm="1">
        <f t="array" ref="H484">_xlfn.IFS(Table1[[#This Row],[in_or_out]]="out", "Take_out",Table1[[#This Row],[in_or_out]]="in", "Dine_in", Table1[[#This Row],[in_or_out]]="","Unknown")</f>
        <v>Unknown</v>
      </c>
    </row>
    <row r="485" spans="1:8" ht="15.75">
      <c r="A485" s="18">
        <v>484</v>
      </c>
      <c r="B485" s="7" t="s">
        <v>577</v>
      </c>
      <c r="C485" s="12">
        <v>45339.509722222225</v>
      </c>
      <c r="D485" s="7" t="s">
        <v>34</v>
      </c>
      <c r="E485" s="7">
        <v>1</v>
      </c>
      <c r="F485" s="7" t="s">
        <v>454</v>
      </c>
      <c r="G485" s="19" t="s">
        <v>14</v>
      </c>
      <c r="H485" s="7" t="str" cm="1">
        <f t="array" ref="H485">_xlfn.IFS(Table1[[#This Row],[in_or_out]]="out", "Take_out",Table1[[#This Row],[in_or_out]]="in", "Dine_in", Table1[[#This Row],[in_or_out]]="","Unknown")</f>
        <v>Dine_in</v>
      </c>
    </row>
    <row r="486" spans="1:8" ht="15.75">
      <c r="A486" s="18">
        <v>485</v>
      </c>
      <c r="B486" s="7" t="s">
        <v>578</v>
      </c>
      <c r="C486" s="12">
        <v>45339.51458333333</v>
      </c>
      <c r="D486" s="7" t="s">
        <v>38</v>
      </c>
      <c r="E486" s="7">
        <v>1</v>
      </c>
      <c r="F486" s="7" t="s">
        <v>343</v>
      </c>
      <c r="G486" s="19" t="s">
        <v>10</v>
      </c>
      <c r="H486" s="7" t="str" cm="1">
        <f t="array" ref="H486">_xlfn.IFS(Table1[[#This Row],[in_or_out]]="out", "Take_out",Table1[[#This Row],[in_or_out]]="in", "Dine_in", Table1[[#This Row],[in_or_out]]="","Unknown")</f>
        <v>Take_out</v>
      </c>
    </row>
    <row r="487" spans="1:8" ht="15.75">
      <c r="A487" s="18">
        <v>486</v>
      </c>
      <c r="B487" s="7" t="s">
        <v>579</v>
      </c>
      <c r="C487" s="12">
        <v>45339.519444444442</v>
      </c>
      <c r="D487" s="7" t="s">
        <v>36</v>
      </c>
      <c r="E487" s="7">
        <v>1</v>
      </c>
      <c r="F487" s="7" t="s">
        <v>345</v>
      </c>
      <c r="G487" s="19" t="s">
        <v>14</v>
      </c>
      <c r="H487" s="7" t="str" cm="1">
        <f t="array" ref="H487">_xlfn.IFS(Table1[[#This Row],[in_or_out]]="out", "Take_out",Table1[[#This Row],[in_or_out]]="in", "Dine_in", Table1[[#This Row],[in_or_out]]="","Unknown")</f>
        <v>Dine_in</v>
      </c>
    </row>
    <row r="488" spans="1:8" ht="15.75">
      <c r="A488" s="18">
        <v>487</v>
      </c>
      <c r="B488" s="7" t="s">
        <v>579</v>
      </c>
      <c r="C488" s="12">
        <v>45339.519444444442</v>
      </c>
      <c r="D488" s="7" t="s">
        <v>166</v>
      </c>
      <c r="E488" s="7">
        <v>1</v>
      </c>
      <c r="F488" s="7" t="s">
        <v>345</v>
      </c>
      <c r="G488" s="19" t="s">
        <v>789</v>
      </c>
      <c r="H488" s="7" t="str" cm="1">
        <f t="array" ref="H488">_xlfn.IFS(Table1[[#This Row],[in_or_out]]="out", "Take_out",Table1[[#This Row],[in_or_out]]="in", "Dine_in", Table1[[#This Row],[in_or_out]]="","Unknown")</f>
        <v>Unknown</v>
      </c>
    </row>
    <row r="489" spans="1:8" ht="15.75">
      <c r="A489" s="18">
        <v>488</v>
      </c>
      <c r="B489" s="7" t="s">
        <v>580</v>
      </c>
      <c r="C489" s="12">
        <v>45339.524305555555</v>
      </c>
      <c r="D489" s="7" t="s">
        <v>48</v>
      </c>
      <c r="E489" s="7">
        <v>1</v>
      </c>
      <c r="F489" s="7" t="s">
        <v>347</v>
      </c>
      <c r="G489" s="19" t="s">
        <v>10</v>
      </c>
      <c r="H489" s="7" t="str" cm="1">
        <f t="array" ref="H489">_xlfn.IFS(Table1[[#This Row],[in_or_out]]="out", "Take_out",Table1[[#This Row],[in_or_out]]="in", "Dine_in", Table1[[#This Row],[in_or_out]]="","Unknown")</f>
        <v>Take_out</v>
      </c>
    </row>
    <row r="490" spans="1:8" ht="15.75">
      <c r="A490" s="18">
        <v>489</v>
      </c>
      <c r="B490" s="7" t="s">
        <v>581</v>
      </c>
      <c r="C490" s="12">
        <v>45339.529166666667</v>
      </c>
      <c r="D490" s="7" t="s">
        <v>89</v>
      </c>
      <c r="E490" s="7">
        <v>1</v>
      </c>
      <c r="F490" s="7" t="s">
        <v>349</v>
      </c>
      <c r="G490" s="19" t="s">
        <v>14</v>
      </c>
      <c r="H490" s="7" t="str" cm="1">
        <f t="array" ref="H490">_xlfn.IFS(Table1[[#This Row],[in_or_out]]="out", "Take_out",Table1[[#This Row],[in_or_out]]="in", "Dine_in", Table1[[#This Row],[in_or_out]]="","Unknown")</f>
        <v>Dine_in</v>
      </c>
    </row>
    <row r="491" spans="1:8" ht="15.75">
      <c r="A491" s="18">
        <v>490</v>
      </c>
      <c r="B491" s="7" t="s">
        <v>582</v>
      </c>
      <c r="C491" s="12">
        <v>45339.53402777778</v>
      </c>
      <c r="D491" s="7" t="s">
        <v>153</v>
      </c>
      <c r="E491" s="7">
        <v>1</v>
      </c>
      <c r="F491" s="7" t="s">
        <v>583</v>
      </c>
      <c r="G491" s="19" t="s">
        <v>10</v>
      </c>
      <c r="H491" s="7" t="str" cm="1">
        <f t="array" ref="H491">_xlfn.IFS(Table1[[#This Row],[in_or_out]]="out", "Take_out",Table1[[#This Row],[in_or_out]]="in", "Dine_in", Table1[[#This Row],[in_or_out]]="","Unknown")</f>
        <v>Take_out</v>
      </c>
    </row>
    <row r="492" spans="1:8" ht="15.75">
      <c r="A492" s="18">
        <v>491</v>
      </c>
      <c r="B492" s="7" t="s">
        <v>584</v>
      </c>
      <c r="C492" s="12">
        <v>45339.538888888892</v>
      </c>
      <c r="D492" s="7" t="s">
        <v>42</v>
      </c>
      <c r="E492" s="7">
        <v>1</v>
      </c>
      <c r="F492" s="7" t="s">
        <v>37</v>
      </c>
      <c r="G492" s="19" t="s">
        <v>14</v>
      </c>
      <c r="H492" s="7" t="str" cm="1">
        <f t="array" ref="H492">_xlfn.IFS(Table1[[#This Row],[in_or_out]]="out", "Take_out",Table1[[#This Row],[in_or_out]]="in", "Dine_in", Table1[[#This Row],[in_or_out]]="","Unknown")</f>
        <v>Dine_in</v>
      </c>
    </row>
    <row r="493" spans="1:8" ht="15.75">
      <c r="A493" s="18">
        <v>492</v>
      </c>
      <c r="B493" s="7" t="s">
        <v>585</v>
      </c>
      <c r="C493" s="12">
        <v>45339.543749999997</v>
      </c>
      <c r="D493" s="7" t="s">
        <v>30</v>
      </c>
      <c r="E493" s="7">
        <v>1</v>
      </c>
      <c r="F493" s="7" t="s">
        <v>312</v>
      </c>
      <c r="G493" s="19" t="s">
        <v>10</v>
      </c>
      <c r="H493" s="7" t="str" cm="1">
        <f t="array" ref="H493">_xlfn.IFS(Table1[[#This Row],[in_or_out]]="out", "Take_out",Table1[[#This Row],[in_or_out]]="in", "Dine_in", Table1[[#This Row],[in_or_out]]="","Unknown")</f>
        <v>Take_out</v>
      </c>
    </row>
    <row r="494" spans="1:8" ht="15.75">
      <c r="A494" s="18">
        <v>493</v>
      </c>
      <c r="B494" s="7" t="s">
        <v>585</v>
      </c>
      <c r="C494" s="12">
        <v>45339.543749999997</v>
      </c>
      <c r="D494" s="7" t="s">
        <v>12</v>
      </c>
      <c r="E494" s="7">
        <v>1</v>
      </c>
      <c r="F494" s="7" t="s">
        <v>312</v>
      </c>
      <c r="G494" s="19" t="s">
        <v>789</v>
      </c>
      <c r="H494" s="7" t="str" cm="1">
        <f t="array" ref="H494">_xlfn.IFS(Table1[[#This Row],[in_or_out]]="out", "Take_out",Table1[[#This Row],[in_or_out]]="in", "Dine_in", Table1[[#This Row],[in_or_out]]="","Unknown")</f>
        <v>Unknown</v>
      </c>
    </row>
    <row r="495" spans="1:8" ht="15.75">
      <c r="A495" s="18">
        <v>494</v>
      </c>
      <c r="B495" s="7" t="s">
        <v>586</v>
      </c>
      <c r="C495" s="12">
        <v>45339.548611111109</v>
      </c>
      <c r="D495" s="7" t="s">
        <v>24</v>
      </c>
      <c r="E495" s="7">
        <v>1</v>
      </c>
      <c r="F495" s="7" t="s">
        <v>137</v>
      </c>
      <c r="G495" s="19" t="s">
        <v>14</v>
      </c>
      <c r="H495" s="7" t="str" cm="1">
        <f t="array" ref="H495">_xlfn.IFS(Table1[[#This Row],[in_or_out]]="out", "Take_out",Table1[[#This Row],[in_or_out]]="in", "Dine_in", Table1[[#This Row],[in_or_out]]="","Unknown")</f>
        <v>Dine_in</v>
      </c>
    </row>
    <row r="496" spans="1:8" ht="15.75">
      <c r="A496" s="18">
        <v>495</v>
      </c>
      <c r="B496" s="7" t="s">
        <v>587</v>
      </c>
      <c r="C496" s="12">
        <v>45339.553472222222</v>
      </c>
      <c r="D496" s="7" t="s">
        <v>8</v>
      </c>
      <c r="E496" s="7">
        <v>1</v>
      </c>
      <c r="F496" s="7" t="s">
        <v>316</v>
      </c>
      <c r="G496" s="19" t="s">
        <v>10</v>
      </c>
      <c r="H496" s="7" t="str" cm="1">
        <f t="array" ref="H496">_xlfn.IFS(Table1[[#This Row],[in_or_out]]="out", "Take_out",Table1[[#This Row],[in_or_out]]="in", "Dine_in", Table1[[#This Row],[in_or_out]]="","Unknown")</f>
        <v>Take_out</v>
      </c>
    </row>
    <row r="497" spans="1:8" ht="15.75">
      <c r="A497" s="18">
        <v>496</v>
      </c>
      <c r="B497" s="7" t="s">
        <v>588</v>
      </c>
      <c r="C497" s="12">
        <v>45339.558333333334</v>
      </c>
      <c r="D497" s="7" t="s">
        <v>67</v>
      </c>
      <c r="E497" s="7">
        <v>1</v>
      </c>
      <c r="F497" s="7" t="s">
        <v>318</v>
      </c>
      <c r="G497" s="19" t="s">
        <v>14</v>
      </c>
      <c r="H497" s="7" t="str" cm="1">
        <f t="array" ref="H497">_xlfn.IFS(Table1[[#This Row],[in_or_out]]="out", "Take_out",Table1[[#This Row],[in_or_out]]="in", "Dine_in", Table1[[#This Row],[in_or_out]]="","Unknown")</f>
        <v>Dine_in</v>
      </c>
    </row>
    <row r="498" spans="1:8" ht="15.75">
      <c r="A498" s="18">
        <v>497</v>
      </c>
      <c r="B498" s="7" t="s">
        <v>589</v>
      </c>
      <c r="C498" s="12">
        <v>45339.563194444447</v>
      </c>
      <c r="D498" s="7" t="s">
        <v>28</v>
      </c>
      <c r="E498" s="7">
        <v>1</v>
      </c>
      <c r="F498" s="7" t="s">
        <v>590</v>
      </c>
      <c r="G498" s="19" t="s">
        <v>10</v>
      </c>
      <c r="H498" s="7" t="str" cm="1">
        <f t="array" ref="H498">_xlfn.IFS(Table1[[#This Row],[in_or_out]]="out", "Take_out",Table1[[#This Row],[in_or_out]]="in", "Dine_in", Table1[[#This Row],[in_or_out]]="","Unknown")</f>
        <v>Take_out</v>
      </c>
    </row>
    <row r="499" spans="1:8" ht="15.75">
      <c r="A499" s="18">
        <v>498</v>
      </c>
      <c r="B499" s="7" t="s">
        <v>591</v>
      </c>
      <c r="C499" s="12">
        <v>45339.568055555559</v>
      </c>
      <c r="D499" s="7" t="s">
        <v>52</v>
      </c>
      <c r="E499" s="7">
        <v>1</v>
      </c>
      <c r="F499" s="7" t="s">
        <v>322</v>
      </c>
      <c r="G499" s="19" t="s">
        <v>14</v>
      </c>
      <c r="H499" s="7" t="str" cm="1">
        <f t="array" ref="H499">_xlfn.IFS(Table1[[#This Row],[in_or_out]]="out", "Take_out",Table1[[#This Row],[in_or_out]]="in", "Dine_in", Table1[[#This Row],[in_or_out]]="","Unknown")</f>
        <v>Dine_in</v>
      </c>
    </row>
    <row r="500" spans="1:8" ht="15.75">
      <c r="A500" s="18">
        <v>499</v>
      </c>
      <c r="B500" s="7" t="s">
        <v>591</v>
      </c>
      <c r="C500" s="12">
        <v>45339.568055555559</v>
      </c>
      <c r="D500" s="7" t="s">
        <v>21</v>
      </c>
      <c r="E500" s="7">
        <v>1</v>
      </c>
      <c r="F500" s="7" t="s">
        <v>322</v>
      </c>
      <c r="G500" s="19" t="s">
        <v>789</v>
      </c>
      <c r="H500" s="7" t="str" cm="1">
        <f t="array" ref="H500">_xlfn.IFS(Table1[[#This Row],[in_or_out]]="out", "Take_out",Table1[[#This Row],[in_or_out]]="in", "Dine_in", Table1[[#This Row],[in_or_out]]="","Unknown")</f>
        <v>Unknown</v>
      </c>
    </row>
    <row r="501" spans="1:8" ht="15.75">
      <c r="A501" s="18">
        <v>500</v>
      </c>
      <c r="B501" s="7" t="s">
        <v>592</v>
      </c>
      <c r="C501" s="12">
        <v>45339.572916666664</v>
      </c>
      <c r="D501" s="7" t="s">
        <v>123</v>
      </c>
      <c r="E501" s="7">
        <v>1</v>
      </c>
      <c r="F501" s="7" t="s">
        <v>360</v>
      </c>
      <c r="G501" s="19" t="s">
        <v>10</v>
      </c>
      <c r="H501" s="7" t="str" cm="1">
        <f t="array" ref="H501">_xlfn.IFS(Table1[[#This Row],[in_or_out]]="out", "Take_out",Table1[[#This Row],[in_or_out]]="in", "Dine_in", Table1[[#This Row],[in_or_out]]="","Unknown")</f>
        <v>Take_out</v>
      </c>
    </row>
    <row r="502" spans="1:8" ht="15.75">
      <c r="A502" s="18">
        <v>501</v>
      </c>
      <c r="B502" s="7" t="s">
        <v>593</v>
      </c>
      <c r="C502" s="12">
        <v>45339.577777777777</v>
      </c>
      <c r="D502" s="7" t="s">
        <v>160</v>
      </c>
      <c r="E502" s="7">
        <v>1</v>
      </c>
      <c r="F502" s="7" t="s">
        <v>594</v>
      </c>
      <c r="G502" s="19" t="s">
        <v>14</v>
      </c>
      <c r="H502" s="7" t="str" cm="1">
        <f t="array" ref="H502">_xlfn.IFS(Table1[[#This Row],[in_or_out]]="out", "Take_out",Table1[[#This Row],[in_or_out]]="in", "Dine_in", Table1[[#This Row],[in_or_out]]="","Unknown")</f>
        <v>Dine_in</v>
      </c>
    </row>
    <row r="503" spans="1:8" ht="15.75">
      <c r="A503" s="18">
        <v>502</v>
      </c>
      <c r="B503" s="7" t="s">
        <v>595</v>
      </c>
      <c r="C503" s="12">
        <v>45339.582638888889</v>
      </c>
      <c r="D503" s="7" t="s">
        <v>18</v>
      </c>
      <c r="E503" s="7">
        <v>1</v>
      </c>
      <c r="F503" s="7" t="s">
        <v>434</v>
      </c>
      <c r="G503" s="19" t="s">
        <v>10</v>
      </c>
      <c r="H503" s="7" t="str" cm="1">
        <f t="array" ref="H503">_xlfn.IFS(Table1[[#This Row],[in_or_out]]="out", "Take_out",Table1[[#This Row],[in_or_out]]="in", "Dine_in", Table1[[#This Row],[in_or_out]]="","Unknown")</f>
        <v>Take_out</v>
      </c>
    </row>
    <row r="504" spans="1:8" ht="15.75">
      <c r="A504" s="18">
        <v>503</v>
      </c>
      <c r="B504" s="7" t="s">
        <v>596</v>
      </c>
      <c r="C504" s="12">
        <v>45339.587500000001</v>
      </c>
      <c r="D504" s="7" t="s">
        <v>45</v>
      </c>
      <c r="E504" s="7">
        <v>1</v>
      </c>
      <c r="F504" s="7" t="s">
        <v>478</v>
      </c>
      <c r="G504" s="19" t="s">
        <v>14</v>
      </c>
      <c r="H504" s="7" t="str" cm="1">
        <f t="array" ref="H504">_xlfn.IFS(Table1[[#This Row],[in_or_out]]="out", "Take_out",Table1[[#This Row],[in_or_out]]="in", "Dine_in", Table1[[#This Row],[in_or_out]]="","Unknown")</f>
        <v>Dine_in</v>
      </c>
    </row>
    <row r="505" spans="1:8" ht="15.75">
      <c r="A505" s="18">
        <v>504</v>
      </c>
      <c r="B505" s="7" t="s">
        <v>597</v>
      </c>
      <c r="C505" s="12">
        <v>45339.592361111114</v>
      </c>
      <c r="D505" s="7" t="s">
        <v>59</v>
      </c>
      <c r="E505" s="7">
        <v>1</v>
      </c>
      <c r="F505" s="7" t="s">
        <v>368</v>
      </c>
      <c r="G505" s="19" t="s">
        <v>10</v>
      </c>
      <c r="H505" s="7" t="str" cm="1">
        <f t="array" ref="H505">_xlfn.IFS(Table1[[#This Row],[in_or_out]]="out", "Take_out",Table1[[#This Row],[in_or_out]]="in", "Dine_in", Table1[[#This Row],[in_or_out]]="","Unknown")</f>
        <v>Take_out</v>
      </c>
    </row>
    <row r="506" spans="1:8" ht="15.75">
      <c r="A506" s="18">
        <v>505</v>
      </c>
      <c r="B506" s="7" t="s">
        <v>598</v>
      </c>
      <c r="C506" s="12">
        <v>45339.597222222219</v>
      </c>
      <c r="D506" s="7" t="s">
        <v>110</v>
      </c>
      <c r="E506" s="7">
        <v>1</v>
      </c>
      <c r="F506" s="7" t="s">
        <v>599</v>
      </c>
      <c r="G506" s="19" t="s">
        <v>14</v>
      </c>
      <c r="H506" s="7" t="str" cm="1">
        <f t="array" ref="H506">_xlfn.IFS(Table1[[#This Row],[in_or_out]]="out", "Take_out",Table1[[#This Row],[in_or_out]]="in", "Dine_in", Table1[[#This Row],[in_or_out]]="","Unknown")</f>
        <v>Dine_in</v>
      </c>
    </row>
    <row r="507" spans="1:8" ht="15.75">
      <c r="A507" s="18">
        <v>506</v>
      </c>
      <c r="B507" s="7" t="s">
        <v>600</v>
      </c>
      <c r="C507" s="12">
        <v>45339.602083333331</v>
      </c>
      <c r="D507" s="7" t="s">
        <v>50</v>
      </c>
      <c r="E507" s="7">
        <v>1</v>
      </c>
      <c r="F507" s="7" t="s">
        <v>372</v>
      </c>
      <c r="G507" s="19" t="s">
        <v>10</v>
      </c>
      <c r="H507" s="7" t="str" cm="1">
        <f t="array" ref="H507">_xlfn.IFS(Table1[[#This Row],[in_or_out]]="out", "Take_out",Table1[[#This Row],[in_or_out]]="in", "Dine_in", Table1[[#This Row],[in_or_out]]="","Unknown")</f>
        <v>Take_out</v>
      </c>
    </row>
    <row r="508" spans="1:8" ht="15.75">
      <c r="A508" s="18">
        <v>507</v>
      </c>
      <c r="B508" s="7" t="s">
        <v>600</v>
      </c>
      <c r="C508" s="12">
        <v>45339.602083333331</v>
      </c>
      <c r="D508" s="7" t="s">
        <v>26</v>
      </c>
      <c r="E508" s="7">
        <v>1</v>
      </c>
      <c r="F508" s="7" t="s">
        <v>372</v>
      </c>
      <c r="G508" s="19" t="s">
        <v>789</v>
      </c>
      <c r="H508" s="7" t="str" cm="1">
        <f t="array" ref="H508">_xlfn.IFS(Table1[[#This Row],[in_or_out]]="out", "Take_out",Table1[[#This Row],[in_or_out]]="in", "Dine_in", Table1[[#This Row],[in_or_out]]="","Unknown")</f>
        <v>Unknown</v>
      </c>
    </row>
    <row r="509" spans="1:8" ht="15.75">
      <c r="A509" s="18">
        <v>508</v>
      </c>
      <c r="B509" s="7" t="s">
        <v>601</v>
      </c>
      <c r="C509" s="12">
        <v>45339.606944444444</v>
      </c>
      <c r="D509" s="7" t="s">
        <v>142</v>
      </c>
      <c r="E509" s="7">
        <v>1</v>
      </c>
      <c r="F509" s="7" t="s">
        <v>602</v>
      </c>
      <c r="G509" s="19" t="s">
        <v>14</v>
      </c>
      <c r="H509" s="7" t="str" cm="1">
        <f t="array" ref="H509">_xlfn.IFS(Table1[[#This Row],[in_or_out]]="out", "Take_out",Table1[[#This Row],[in_or_out]]="in", "Dine_in", Table1[[#This Row],[in_or_out]]="","Unknown")</f>
        <v>Dine_in</v>
      </c>
    </row>
    <row r="510" spans="1:8" ht="15.75">
      <c r="A510" s="18">
        <v>509</v>
      </c>
      <c r="B510" s="7" t="s">
        <v>603</v>
      </c>
      <c r="C510" s="12">
        <v>45339.611805555556</v>
      </c>
      <c r="D510" s="7" t="s">
        <v>48</v>
      </c>
      <c r="E510" s="7">
        <v>1</v>
      </c>
      <c r="F510" s="7" t="s">
        <v>604</v>
      </c>
      <c r="G510" s="19" t="s">
        <v>10</v>
      </c>
      <c r="H510" s="7" t="str" cm="1">
        <f t="array" ref="H510">_xlfn.IFS(Table1[[#This Row],[in_or_out]]="out", "Take_out",Table1[[#This Row],[in_or_out]]="in", "Dine_in", Table1[[#This Row],[in_or_out]]="","Unknown")</f>
        <v>Take_out</v>
      </c>
    </row>
    <row r="511" spans="1:8" ht="15.75">
      <c r="A511" s="18">
        <v>510</v>
      </c>
      <c r="B511" s="7" t="s">
        <v>605</v>
      </c>
      <c r="C511" s="12">
        <v>45339.616666666669</v>
      </c>
      <c r="D511" s="7" t="s">
        <v>32</v>
      </c>
      <c r="E511" s="7">
        <v>1</v>
      </c>
      <c r="F511" s="7" t="s">
        <v>446</v>
      </c>
      <c r="G511" s="19" t="s">
        <v>14</v>
      </c>
      <c r="H511" s="7" t="str" cm="1">
        <f t="array" ref="H511">_xlfn.IFS(Table1[[#This Row],[in_or_out]]="out", "Take_out",Table1[[#This Row],[in_or_out]]="in", "Dine_in", Table1[[#This Row],[in_or_out]]="","Unknown")</f>
        <v>Dine_in</v>
      </c>
    </row>
    <row r="512" spans="1:8" ht="15.75">
      <c r="A512" s="18">
        <v>511</v>
      </c>
      <c r="B512" s="7" t="s">
        <v>606</v>
      </c>
      <c r="C512" s="12">
        <v>45339.621527777781</v>
      </c>
      <c r="D512" s="7" t="s">
        <v>36</v>
      </c>
      <c r="E512" s="7">
        <v>1</v>
      </c>
      <c r="F512" s="7" t="s">
        <v>607</v>
      </c>
      <c r="G512" s="19" t="s">
        <v>10</v>
      </c>
      <c r="H512" s="7" t="str" cm="1">
        <f t="array" ref="H512">_xlfn.IFS(Table1[[#This Row],[in_or_out]]="out", "Take_out",Table1[[#This Row],[in_or_out]]="in", "Dine_in", Table1[[#This Row],[in_or_out]]="","Unknown")</f>
        <v>Take_out</v>
      </c>
    </row>
    <row r="513" spans="1:8" ht="15.75">
      <c r="A513" s="18">
        <v>512</v>
      </c>
      <c r="B513" s="7" t="s">
        <v>608</v>
      </c>
      <c r="C513" s="12">
        <v>45339.626388888886</v>
      </c>
      <c r="D513" s="7" t="s">
        <v>34</v>
      </c>
      <c r="E513" s="7">
        <v>1</v>
      </c>
      <c r="F513" s="7" t="s">
        <v>450</v>
      </c>
      <c r="G513" s="19" t="s">
        <v>14</v>
      </c>
      <c r="H513" s="7" t="str" cm="1">
        <f t="array" ref="H513">_xlfn.IFS(Table1[[#This Row],[in_or_out]]="out", "Take_out",Table1[[#This Row],[in_or_out]]="in", "Dine_in", Table1[[#This Row],[in_or_out]]="","Unknown")</f>
        <v>Dine_in</v>
      </c>
    </row>
    <row r="514" spans="1:8" ht="15.75">
      <c r="A514" s="18">
        <v>513</v>
      </c>
      <c r="B514" s="7" t="s">
        <v>608</v>
      </c>
      <c r="C514" s="12">
        <v>45339.626388888886</v>
      </c>
      <c r="D514" s="7" t="s">
        <v>38</v>
      </c>
      <c r="E514" s="7">
        <v>1</v>
      </c>
      <c r="F514" s="7" t="s">
        <v>450</v>
      </c>
      <c r="G514" s="19" t="s">
        <v>789</v>
      </c>
      <c r="H514" s="7" t="str" cm="1">
        <f t="array" ref="H514">_xlfn.IFS(Table1[[#This Row],[in_or_out]]="out", "Take_out",Table1[[#This Row],[in_or_out]]="in", "Dine_in", Table1[[#This Row],[in_or_out]]="","Unknown")</f>
        <v>Unknown</v>
      </c>
    </row>
    <row r="515" spans="1:8" ht="15.75">
      <c r="A515" s="18">
        <v>514</v>
      </c>
      <c r="B515" s="7" t="s">
        <v>609</v>
      </c>
      <c r="C515" s="12">
        <v>45339.640972222223</v>
      </c>
      <c r="D515" s="7" t="s">
        <v>89</v>
      </c>
      <c r="E515" s="7">
        <v>1</v>
      </c>
      <c r="F515" s="7" t="s">
        <v>386</v>
      </c>
      <c r="G515" s="19" t="s">
        <v>10</v>
      </c>
      <c r="H515" s="7" t="str" cm="1">
        <f t="array" ref="H515">_xlfn.IFS(Table1[[#This Row],[in_or_out]]="out", "Take_out",Table1[[#This Row],[in_or_out]]="in", "Dine_in", Table1[[#This Row],[in_or_out]]="","Unknown")</f>
        <v>Take_out</v>
      </c>
    </row>
    <row r="516" spans="1:8" ht="15.75">
      <c r="A516" s="18">
        <v>515</v>
      </c>
      <c r="B516" s="7" t="s">
        <v>610</v>
      </c>
      <c r="C516" s="12">
        <v>45339.652083333334</v>
      </c>
      <c r="D516" s="7" t="s">
        <v>153</v>
      </c>
      <c r="E516" s="7">
        <v>1</v>
      </c>
      <c r="F516" s="7" t="s">
        <v>345</v>
      </c>
      <c r="G516" s="19" t="s">
        <v>14</v>
      </c>
      <c r="H516" s="7" t="str" cm="1">
        <f t="array" ref="H516">_xlfn.IFS(Table1[[#This Row],[in_or_out]]="out", "Take_out",Table1[[#This Row],[in_or_out]]="in", "Dine_in", Table1[[#This Row],[in_or_out]]="","Unknown")</f>
        <v>Dine_in</v>
      </c>
    </row>
    <row r="517" spans="1:8" ht="15.75">
      <c r="A517" s="18">
        <v>516</v>
      </c>
      <c r="B517" s="7" t="s">
        <v>611</v>
      </c>
      <c r="C517" s="12">
        <v>45339.663194444445</v>
      </c>
      <c r="D517" s="7" t="s">
        <v>48</v>
      </c>
      <c r="E517" s="7">
        <v>1</v>
      </c>
      <c r="F517" s="7" t="s">
        <v>604</v>
      </c>
      <c r="G517" s="19" t="s">
        <v>10</v>
      </c>
      <c r="H517" s="7" t="str" cm="1">
        <f t="array" ref="H517">_xlfn.IFS(Table1[[#This Row],[in_or_out]]="out", "Take_out",Table1[[#This Row],[in_or_out]]="in", "Dine_in", Table1[[#This Row],[in_or_out]]="","Unknown")</f>
        <v>Take_out</v>
      </c>
    </row>
    <row r="518" spans="1:8" ht="15.75">
      <c r="A518" s="18">
        <v>517</v>
      </c>
      <c r="B518" s="7" t="s">
        <v>612</v>
      </c>
      <c r="C518" s="12">
        <v>45339.674305555556</v>
      </c>
      <c r="D518" s="7" t="s">
        <v>36</v>
      </c>
      <c r="E518" s="7">
        <v>1</v>
      </c>
      <c r="F518" s="7" t="s">
        <v>446</v>
      </c>
      <c r="G518" s="19" t="s">
        <v>14</v>
      </c>
      <c r="H518" s="7" t="str" cm="1">
        <f t="array" ref="H518">_xlfn.IFS(Table1[[#This Row],[in_or_out]]="out", "Take_out",Table1[[#This Row],[in_or_out]]="in", "Dine_in", Table1[[#This Row],[in_or_out]]="","Unknown")</f>
        <v>Dine_in</v>
      </c>
    </row>
    <row r="519" spans="1:8" ht="15.75">
      <c r="A519" s="18">
        <v>518</v>
      </c>
      <c r="B519" s="7" t="s">
        <v>613</v>
      </c>
      <c r="C519" s="12">
        <v>45339.685416666667</v>
      </c>
      <c r="D519" s="7" t="s">
        <v>32</v>
      </c>
      <c r="E519" s="7">
        <v>1</v>
      </c>
      <c r="F519" s="7" t="s">
        <v>607</v>
      </c>
      <c r="G519" s="19" t="s">
        <v>10</v>
      </c>
      <c r="H519" s="7" t="str" cm="1">
        <f t="array" ref="H519">_xlfn.IFS(Table1[[#This Row],[in_or_out]]="out", "Take_out",Table1[[#This Row],[in_or_out]]="in", "Dine_in", Table1[[#This Row],[in_or_out]]="","Unknown")</f>
        <v>Take_out</v>
      </c>
    </row>
    <row r="520" spans="1:8" ht="15.75">
      <c r="A520" s="18">
        <v>519</v>
      </c>
      <c r="B520" s="7" t="s">
        <v>614</v>
      </c>
      <c r="C520" s="12">
        <v>45339.696527777778</v>
      </c>
      <c r="D520" s="7" t="s">
        <v>34</v>
      </c>
      <c r="E520" s="7">
        <v>1</v>
      </c>
      <c r="F520" s="7" t="s">
        <v>450</v>
      </c>
      <c r="G520" s="19" t="s">
        <v>14</v>
      </c>
      <c r="H520" s="7" t="str" cm="1">
        <f t="array" ref="H520">_xlfn.IFS(Table1[[#This Row],[in_or_out]]="out", "Take_out",Table1[[#This Row],[in_or_out]]="in", "Dine_in", Table1[[#This Row],[in_or_out]]="","Unknown")</f>
        <v>Dine_in</v>
      </c>
    </row>
    <row r="521" spans="1:8" ht="15.75">
      <c r="A521" s="18">
        <v>520</v>
      </c>
      <c r="B521" s="7" t="s">
        <v>615</v>
      </c>
      <c r="C521" s="12">
        <v>45339.707638888889</v>
      </c>
      <c r="D521" s="7" t="s">
        <v>59</v>
      </c>
      <c r="E521" s="7">
        <v>1</v>
      </c>
      <c r="F521" s="7" t="s">
        <v>452</v>
      </c>
      <c r="G521" s="19" t="s">
        <v>10</v>
      </c>
      <c r="H521" s="7" t="str" cm="1">
        <f t="array" ref="H521">_xlfn.IFS(Table1[[#This Row],[in_or_out]]="out", "Take_out",Table1[[#This Row],[in_or_out]]="in", "Dine_in", Table1[[#This Row],[in_or_out]]="","Unknown")</f>
        <v>Take_out</v>
      </c>
    </row>
    <row r="522" spans="1:8" ht="15.75">
      <c r="A522" s="23">
        <v>521</v>
      </c>
      <c r="B522" s="24" t="s">
        <v>616</v>
      </c>
      <c r="C522" s="25">
        <v>45339.708333333336</v>
      </c>
      <c r="D522" s="24" t="s">
        <v>160</v>
      </c>
      <c r="E522" s="24">
        <v>1</v>
      </c>
      <c r="F522" s="24" t="s">
        <v>454</v>
      </c>
      <c r="G522" s="19" t="s">
        <v>14</v>
      </c>
      <c r="H522" s="24" t="str" cm="1">
        <f t="array" ref="H522">_xlfn.IFS(Table1[[#This Row],[in_or_out]]="out", "Take_out",Table1[[#This Row],[in_or_out]]="in", "Dine_in", Table1[[#This Row],[in_or_out]]="","Unknown")</f>
        <v>Dine_in</v>
      </c>
    </row>
    <row r="523" spans="1:8" ht="15.75">
      <c r="A523" s="3"/>
      <c r="B523" s="8"/>
      <c r="C523" s="9"/>
      <c r="D523" s="8"/>
      <c r="E523" s="3"/>
      <c r="F523" s="3"/>
      <c r="G523" s="26"/>
      <c r="H523" s="34"/>
    </row>
    <row r="524" spans="1:8">
      <c r="A524" s="3"/>
      <c r="B524" s="8"/>
      <c r="C524" s="9"/>
      <c r="D524" s="8"/>
      <c r="E524" s="3"/>
      <c r="F524" s="3"/>
      <c r="G524" s="3"/>
      <c r="H524" s="3"/>
    </row>
    <row r="525" spans="1:8">
      <c r="A525" s="3"/>
      <c r="B525" s="8"/>
      <c r="C525" s="9"/>
      <c r="D525" s="8"/>
      <c r="E525" s="3"/>
      <c r="F525" s="3"/>
      <c r="G525" s="3"/>
      <c r="H525" s="3"/>
    </row>
    <row r="526" spans="1:8">
      <c r="A526" s="3"/>
      <c r="B526" s="8"/>
      <c r="C526" s="9"/>
      <c r="D526" s="8"/>
      <c r="E526" s="3"/>
      <c r="F526" s="3"/>
      <c r="G526" s="3"/>
      <c r="H526" s="3"/>
    </row>
    <row r="527" spans="1:8">
      <c r="A527" s="3"/>
      <c r="B527" s="8"/>
      <c r="C527" s="9"/>
      <c r="D527" s="8"/>
      <c r="E527" s="3"/>
      <c r="F527" s="3"/>
      <c r="G527" s="3"/>
      <c r="H527" s="3"/>
    </row>
    <row r="528" spans="1:8">
      <c r="A528" s="3"/>
      <c r="B528" s="8"/>
      <c r="C528" s="9"/>
      <c r="D528" s="8"/>
      <c r="E528" s="3"/>
      <c r="F528" s="3"/>
      <c r="G528" s="3"/>
      <c r="H528" s="3"/>
    </row>
    <row r="529" spans="1:8">
      <c r="A529" s="3"/>
      <c r="B529" s="8"/>
      <c r="C529" s="9"/>
      <c r="D529" s="8"/>
      <c r="E529" s="3"/>
      <c r="F529" s="3"/>
      <c r="G529" s="3"/>
      <c r="H529" s="3"/>
    </row>
    <row r="530" spans="1:8">
      <c r="A530" s="3"/>
      <c r="B530" s="8"/>
      <c r="C530" s="9"/>
      <c r="D530" s="8"/>
      <c r="E530" s="3"/>
      <c r="F530" s="3"/>
      <c r="G530" s="3"/>
      <c r="H530" s="3"/>
    </row>
    <row r="531" spans="1:8">
      <c r="A531" s="3"/>
      <c r="B531" s="8"/>
      <c r="C531" s="9"/>
      <c r="D531" s="8"/>
      <c r="E531" s="3"/>
      <c r="F531" s="3"/>
      <c r="G531" s="3"/>
      <c r="H531" s="3"/>
    </row>
    <row r="532" spans="1:8">
      <c r="A532" s="3"/>
      <c r="B532" s="8"/>
      <c r="C532" s="9"/>
      <c r="D532" s="8"/>
      <c r="E532" s="3"/>
      <c r="F532" s="3"/>
      <c r="G532" s="3"/>
      <c r="H532" s="3"/>
    </row>
    <row r="533" spans="1:8">
      <c r="A533" s="3"/>
      <c r="B533" s="8"/>
      <c r="C533" s="9"/>
      <c r="D533" s="8"/>
      <c r="E533" s="3"/>
      <c r="F533" s="3"/>
      <c r="G533" s="3"/>
      <c r="H533" s="3"/>
    </row>
    <row r="534" spans="1:8">
      <c r="A534" s="3"/>
      <c r="B534" s="8"/>
      <c r="C534" s="9"/>
      <c r="D534" s="8"/>
      <c r="E534" s="3"/>
      <c r="F534" s="3"/>
      <c r="G534" s="3"/>
      <c r="H534" s="3"/>
    </row>
    <row r="535" spans="1:8">
      <c r="A535" s="3"/>
      <c r="B535" s="8"/>
      <c r="C535" s="9"/>
      <c r="D535" s="8"/>
      <c r="E535" s="3"/>
      <c r="F535" s="3"/>
      <c r="G535" s="3"/>
      <c r="H535" s="3"/>
    </row>
    <row r="536" spans="1:8">
      <c r="A536" s="3"/>
      <c r="B536" s="8"/>
      <c r="C536" s="9"/>
      <c r="D536" s="8"/>
      <c r="E536" s="3"/>
      <c r="F536" s="3"/>
      <c r="G536" s="3"/>
      <c r="H536" s="3"/>
    </row>
    <row r="537" spans="1:8">
      <c r="A537" s="3"/>
      <c r="B537" s="8"/>
      <c r="C537" s="9"/>
      <c r="D537" s="8"/>
      <c r="E537" s="3"/>
      <c r="F537" s="3"/>
      <c r="G537" s="3"/>
      <c r="H537" s="3"/>
    </row>
    <row r="538" spans="1:8">
      <c r="A538" s="3"/>
      <c r="B538" s="8"/>
      <c r="C538" s="9"/>
      <c r="D538" s="8"/>
      <c r="E538" s="3"/>
      <c r="F538" s="3"/>
      <c r="G538" s="3"/>
      <c r="H538" s="3"/>
    </row>
    <row r="539" spans="1:8">
      <c r="A539" s="3"/>
      <c r="B539" s="8"/>
      <c r="C539" s="9"/>
      <c r="D539" s="8"/>
      <c r="E539" s="3"/>
      <c r="F539" s="3"/>
      <c r="G539" s="3"/>
      <c r="H539" s="3"/>
    </row>
    <row r="540" spans="1:8">
      <c r="A540" s="3"/>
      <c r="B540" s="8"/>
      <c r="C540" s="9"/>
      <c r="D540" s="8"/>
      <c r="E540" s="3"/>
      <c r="F540" s="3"/>
      <c r="G540" s="3"/>
      <c r="H540" s="3"/>
    </row>
    <row r="541" spans="1:8">
      <c r="A541" s="3"/>
      <c r="B541" s="8"/>
      <c r="C541" s="9"/>
      <c r="D541" s="8"/>
      <c r="E541" s="3"/>
      <c r="F541" s="3"/>
      <c r="G541" s="3"/>
      <c r="H541" s="3"/>
    </row>
    <row r="542" spans="1:8">
      <c r="A542" s="3"/>
      <c r="B542" s="8"/>
      <c r="C542" s="9"/>
      <c r="D542" s="8"/>
      <c r="E542" s="3"/>
      <c r="F542" s="3"/>
      <c r="G542" s="3"/>
      <c r="H542" s="3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7E57-A22C-4C95-9EF7-79BDCA15376A}">
  <dimension ref="A1:F30"/>
  <sheetViews>
    <sheetView tabSelected="1" workbookViewId="0">
      <selection activeCell="F1" sqref="F1:F1048576"/>
    </sheetView>
  </sheetViews>
  <sheetFormatPr defaultRowHeight="14.25"/>
  <cols>
    <col min="1" max="1" width="9.25" bestFit="1" customWidth="1"/>
    <col min="2" max="2" width="13.75" bestFit="1" customWidth="1"/>
    <col min="3" max="3" width="25.5" bestFit="1" customWidth="1"/>
    <col min="4" max="4" width="10.375" bestFit="1" customWidth="1"/>
    <col min="5" max="5" width="11.25" bestFit="1" customWidth="1"/>
    <col min="6" max="6" width="13.125" style="42" bestFit="1" customWidth="1"/>
  </cols>
  <sheetData>
    <row r="1" spans="1:6">
      <c r="A1" t="s">
        <v>3</v>
      </c>
      <c r="B1" t="s">
        <v>617</v>
      </c>
      <c r="C1" t="s">
        <v>618</v>
      </c>
      <c r="D1" t="s">
        <v>619</v>
      </c>
      <c r="E1" t="s">
        <v>620</v>
      </c>
      <c r="F1" s="42" t="s">
        <v>621</v>
      </c>
    </row>
    <row r="2" spans="1:6">
      <c r="A2" s="45" t="s">
        <v>24</v>
      </c>
      <c r="B2" s="45" t="s">
        <v>622</v>
      </c>
      <c r="C2" s="45" t="s">
        <v>623</v>
      </c>
      <c r="D2" s="45" t="s">
        <v>624</v>
      </c>
      <c r="E2" s="45" t="s">
        <v>625</v>
      </c>
      <c r="F2" s="42">
        <v>3.45</v>
      </c>
    </row>
    <row r="3" spans="1:6">
      <c r="A3" s="45" t="s">
        <v>59</v>
      </c>
      <c r="B3" s="45" t="s">
        <v>627</v>
      </c>
      <c r="C3" s="45" t="s">
        <v>623</v>
      </c>
      <c r="D3" s="45" t="s">
        <v>624</v>
      </c>
      <c r="E3" s="45" t="s">
        <v>628</v>
      </c>
      <c r="F3" s="42">
        <v>3.75</v>
      </c>
    </row>
    <row r="4" spans="1:6">
      <c r="A4" s="45" t="s">
        <v>42</v>
      </c>
      <c r="B4" s="45" t="s">
        <v>630</v>
      </c>
      <c r="C4" s="45" t="s">
        <v>631</v>
      </c>
      <c r="D4" s="45" t="s">
        <v>624</v>
      </c>
      <c r="E4" s="45" t="s">
        <v>625</v>
      </c>
      <c r="F4" s="42">
        <v>3.45</v>
      </c>
    </row>
    <row r="5" spans="1:6">
      <c r="A5" s="45" t="s">
        <v>56</v>
      </c>
      <c r="B5" s="45" t="s">
        <v>632</v>
      </c>
      <c r="C5" s="45" t="s">
        <v>631</v>
      </c>
      <c r="D5" s="45" t="s">
        <v>624</v>
      </c>
      <c r="E5" s="45" t="s">
        <v>628</v>
      </c>
      <c r="F5" s="42">
        <v>3.75</v>
      </c>
    </row>
    <row r="6" spans="1:6">
      <c r="A6" s="45" t="s">
        <v>28</v>
      </c>
      <c r="B6" s="45" t="s">
        <v>633</v>
      </c>
      <c r="C6" s="45" t="s">
        <v>634</v>
      </c>
      <c r="D6" s="45" t="s">
        <v>624</v>
      </c>
      <c r="E6" s="45" t="s">
        <v>635</v>
      </c>
      <c r="F6" s="42">
        <v>3.15</v>
      </c>
    </row>
    <row r="7" spans="1:6">
      <c r="A7" s="45" t="s">
        <v>32</v>
      </c>
      <c r="B7" s="45" t="s">
        <v>637</v>
      </c>
      <c r="C7" s="45" t="s">
        <v>638</v>
      </c>
      <c r="D7" s="45" t="s">
        <v>624</v>
      </c>
      <c r="E7" s="45" t="s">
        <v>625</v>
      </c>
      <c r="F7" s="42">
        <v>4.2</v>
      </c>
    </row>
    <row r="8" spans="1:6">
      <c r="A8" s="45" t="s">
        <v>45</v>
      </c>
      <c r="B8" s="45" t="s">
        <v>640</v>
      </c>
      <c r="C8" s="45" t="s">
        <v>638</v>
      </c>
      <c r="D8" s="45" t="s">
        <v>624</v>
      </c>
      <c r="E8" s="45" t="s">
        <v>628</v>
      </c>
      <c r="F8" s="42">
        <v>4.5999999999999996</v>
      </c>
    </row>
    <row r="9" spans="1:6">
      <c r="A9" s="45" t="s">
        <v>8</v>
      </c>
      <c r="B9" s="45" t="s">
        <v>642</v>
      </c>
      <c r="C9" s="45" t="s">
        <v>643</v>
      </c>
      <c r="D9" s="45" t="s">
        <v>624</v>
      </c>
      <c r="E9" s="45" t="s">
        <v>635</v>
      </c>
      <c r="F9" s="42">
        <v>2.15</v>
      </c>
    </row>
    <row r="10" spans="1:6">
      <c r="A10" s="45" t="s">
        <v>48</v>
      </c>
      <c r="B10" s="45" t="s">
        <v>645</v>
      </c>
      <c r="C10" s="45" t="s">
        <v>646</v>
      </c>
      <c r="D10" s="45" t="s">
        <v>624</v>
      </c>
      <c r="E10" s="45" t="s">
        <v>625</v>
      </c>
      <c r="F10" s="42">
        <v>4</v>
      </c>
    </row>
    <row r="11" spans="1:6">
      <c r="A11" s="45" t="s">
        <v>123</v>
      </c>
      <c r="B11" s="45" t="s">
        <v>648</v>
      </c>
      <c r="C11" s="45" t="s">
        <v>646</v>
      </c>
      <c r="D11" s="45" t="s">
        <v>624</v>
      </c>
      <c r="E11" s="45" t="s">
        <v>628</v>
      </c>
      <c r="F11" s="42">
        <v>4.5999999999999996</v>
      </c>
    </row>
    <row r="12" spans="1:6">
      <c r="A12" s="45" t="s">
        <v>38</v>
      </c>
      <c r="B12" s="45" t="s">
        <v>649</v>
      </c>
      <c r="C12" s="45" t="s">
        <v>650</v>
      </c>
      <c r="D12" s="45" t="s">
        <v>624</v>
      </c>
      <c r="E12" s="45" t="s">
        <v>625</v>
      </c>
      <c r="F12" s="42">
        <v>4.5</v>
      </c>
    </row>
    <row r="13" spans="1:6">
      <c r="A13" s="45" t="s">
        <v>52</v>
      </c>
      <c r="B13" s="45" t="s">
        <v>652</v>
      </c>
      <c r="C13" s="45" t="s">
        <v>650</v>
      </c>
      <c r="D13" s="45" t="s">
        <v>624</v>
      </c>
      <c r="E13" s="45" t="s">
        <v>628</v>
      </c>
      <c r="F13" s="42">
        <v>4.7</v>
      </c>
    </row>
    <row r="14" spans="1:6">
      <c r="A14" s="45" t="s">
        <v>110</v>
      </c>
      <c r="B14" s="45" t="s">
        <v>654</v>
      </c>
      <c r="C14" s="45" t="s">
        <v>655</v>
      </c>
      <c r="D14" s="45" t="s">
        <v>624</v>
      </c>
      <c r="E14" s="45" t="s">
        <v>625</v>
      </c>
      <c r="F14" s="42">
        <v>4.2</v>
      </c>
    </row>
    <row r="15" spans="1:6">
      <c r="A15" s="45" t="s">
        <v>12</v>
      </c>
      <c r="B15" s="45" t="s">
        <v>656</v>
      </c>
      <c r="C15" s="45" t="s">
        <v>655</v>
      </c>
      <c r="D15" s="45" t="s">
        <v>624</v>
      </c>
      <c r="E15" s="45" t="s">
        <v>628</v>
      </c>
      <c r="F15" s="42">
        <v>4.5999999999999996</v>
      </c>
    </row>
    <row r="16" spans="1:6">
      <c r="A16" s="45" t="s">
        <v>89</v>
      </c>
      <c r="B16" s="45" t="s">
        <v>657</v>
      </c>
      <c r="C16" s="45" t="s">
        <v>658</v>
      </c>
      <c r="D16" s="45" t="s">
        <v>659</v>
      </c>
      <c r="E16" s="45" t="s">
        <v>625</v>
      </c>
      <c r="F16" s="42">
        <v>3.45</v>
      </c>
    </row>
    <row r="17" spans="1:6">
      <c r="A17" s="45" t="s">
        <v>26</v>
      </c>
      <c r="B17" s="45" t="s">
        <v>660</v>
      </c>
      <c r="C17" s="45" t="s">
        <v>658</v>
      </c>
      <c r="D17" s="45" t="s">
        <v>659</v>
      </c>
      <c r="E17" s="45" t="s">
        <v>628</v>
      </c>
      <c r="F17" s="42">
        <v>3.75</v>
      </c>
    </row>
    <row r="18" spans="1:6">
      <c r="A18" s="45" t="s">
        <v>67</v>
      </c>
      <c r="B18" s="45" t="s">
        <v>661</v>
      </c>
      <c r="C18" s="45" t="s">
        <v>662</v>
      </c>
      <c r="D18" s="45" t="s">
        <v>659</v>
      </c>
      <c r="E18" s="45" t="s">
        <v>625</v>
      </c>
      <c r="F18" s="42">
        <v>4</v>
      </c>
    </row>
    <row r="19" spans="1:6">
      <c r="A19" s="45" t="s">
        <v>34</v>
      </c>
      <c r="B19" s="45" t="s">
        <v>663</v>
      </c>
      <c r="C19" s="45" t="s">
        <v>662</v>
      </c>
      <c r="D19" s="45" t="s">
        <v>659</v>
      </c>
      <c r="E19" s="45" t="s">
        <v>628</v>
      </c>
      <c r="F19" s="42">
        <v>4.5999999999999996</v>
      </c>
    </row>
    <row r="20" spans="1:6">
      <c r="A20" s="45" t="s">
        <v>18</v>
      </c>
      <c r="B20" s="45" t="s">
        <v>664</v>
      </c>
      <c r="C20" s="45" t="s">
        <v>665</v>
      </c>
      <c r="D20" s="45" t="s">
        <v>659</v>
      </c>
      <c r="E20" s="45" t="s">
        <v>625</v>
      </c>
      <c r="F20" s="42">
        <v>3.25</v>
      </c>
    </row>
    <row r="21" spans="1:6">
      <c r="A21" s="45" t="s">
        <v>30</v>
      </c>
      <c r="B21" s="45" t="s">
        <v>667</v>
      </c>
      <c r="C21" s="45" t="s">
        <v>665</v>
      </c>
      <c r="D21" s="45" t="s">
        <v>659</v>
      </c>
      <c r="E21" s="45" t="s">
        <v>628</v>
      </c>
      <c r="F21" s="42">
        <v>3.55</v>
      </c>
    </row>
    <row r="22" spans="1:6">
      <c r="A22" s="45" t="s">
        <v>50</v>
      </c>
      <c r="B22" s="45" t="s">
        <v>669</v>
      </c>
      <c r="C22" s="45" t="s">
        <v>670</v>
      </c>
      <c r="D22" s="45" t="s">
        <v>659</v>
      </c>
      <c r="E22" s="45" t="s">
        <v>625</v>
      </c>
      <c r="F22" s="42">
        <v>3.35</v>
      </c>
    </row>
    <row r="23" spans="1:6">
      <c r="A23" s="45" t="s">
        <v>54</v>
      </c>
      <c r="B23" s="45" t="s">
        <v>672</v>
      </c>
      <c r="C23" s="45" t="s">
        <v>670</v>
      </c>
      <c r="D23" s="45" t="s">
        <v>659</v>
      </c>
      <c r="E23" s="45" t="s">
        <v>628</v>
      </c>
      <c r="F23" s="42">
        <v>3.75</v>
      </c>
    </row>
    <row r="24" spans="1:6">
      <c r="A24" s="45" t="s">
        <v>36</v>
      </c>
      <c r="B24" s="45" t="s">
        <v>673</v>
      </c>
      <c r="C24" s="45" t="s">
        <v>674</v>
      </c>
      <c r="D24" s="45" t="s">
        <v>675</v>
      </c>
      <c r="E24" s="45" t="s">
        <v>635</v>
      </c>
      <c r="F24" s="42">
        <v>5.6</v>
      </c>
    </row>
    <row r="25" spans="1:6">
      <c r="A25" s="45" t="s">
        <v>21</v>
      </c>
      <c r="B25" s="45" t="s">
        <v>677</v>
      </c>
      <c r="C25" s="45" t="s">
        <v>678</v>
      </c>
      <c r="D25" s="45" t="s">
        <v>675</v>
      </c>
      <c r="E25" s="45" t="s">
        <v>635</v>
      </c>
      <c r="F25" s="42">
        <v>5.5</v>
      </c>
    </row>
    <row r="26" spans="1:6">
      <c r="A26" s="45"/>
      <c r="B26" s="45"/>
      <c r="C26" s="45"/>
      <c r="D26" s="45"/>
      <c r="E26" s="45"/>
    </row>
    <row r="27" spans="1:6">
      <c r="A27" s="45"/>
      <c r="B27" s="45"/>
      <c r="C27" s="45"/>
      <c r="D27" s="45"/>
      <c r="E27" s="45"/>
    </row>
    <row r="28" spans="1:6">
      <c r="A28" s="45"/>
      <c r="B28" s="45"/>
      <c r="C28" s="45"/>
      <c r="D28" s="45"/>
      <c r="E28" s="45"/>
    </row>
    <row r="29" spans="1:6">
      <c r="A29" s="45"/>
      <c r="B29" s="45"/>
      <c r="C29" s="45"/>
      <c r="D29" s="45"/>
      <c r="E29" s="45"/>
    </row>
    <row r="30" spans="1:6">
      <c r="A30" s="45"/>
      <c r="B30" s="45"/>
      <c r="C30" s="45"/>
      <c r="D30" s="45"/>
      <c r="E30" s="4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62FD-B93E-465B-9E04-3C630C94FBD3}">
  <dimension ref="A1:F30"/>
  <sheetViews>
    <sheetView workbookViewId="0">
      <selection activeCell="C11" sqref="C11"/>
    </sheetView>
  </sheetViews>
  <sheetFormatPr defaultRowHeight="14.25"/>
  <cols>
    <col min="1" max="1" width="9.25" customWidth="1"/>
    <col min="2" max="2" width="15.75" customWidth="1"/>
    <col min="3" max="3" width="27.25" customWidth="1"/>
    <col min="4" max="4" width="16.25" customWidth="1"/>
    <col min="5" max="5" width="10.625" customWidth="1"/>
    <col min="6" max="6" width="12.875" style="39" customWidth="1"/>
  </cols>
  <sheetData>
    <row r="1" spans="1:6" ht="15.75">
      <c r="A1" s="20" t="s">
        <v>3</v>
      </c>
      <c r="B1" s="21" t="s">
        <v>617</v>
      </c>
      <c r="C1" s="21" t="s">
        <v>618</v>
      </c>
      <c r="D1" s="21" t="s">
        <v>619</v>
      </c>
      <c r="E1" s="21" t="s">
        <v>620</v>
      </c>
      <c r="F1" s="36" t="s">
        <v>621</v>
      </c>
    </row>
    <row r="2" spans="1:6" ht="15.75">
      <c r="A2" s="18" t="s">
        <v>24</v>
      </c>
      <c r="B2" s="7" t="s">
        <v>622</v>
      </c>
      <c r="C2" s="7" t="s">
        <v>623</v>
      </c>
      <c r="D2" s="7" t="s">
        <v>624</v>
      </c>
      <c r="E2" s="7" t="s">
        <v>625</v>
      </c>
      <c r="F2" s="37" t="s">
        <v>626</v>
      </c>
    </row>
    <row r="3" spans="1:6" ht="15.75">
      <c r="A3" s="18" t="s">
        <v>59</v>
      </c>
      <c r="B3" s="7" t="s">
        <v>627</v>
      </c>
      <c r="C3" s="7" t="s">
        <v>623</v>
      </c>
      <c r="D3" s="7" t="s">
        <v>624</v>
      </c>
      <c r="E3" s="7" t="s">
        <v>628</v>
      </c>
      <c r="F3" s="37" t="s">
        <v>629</v>
      </c>
    </row>
    <row r="4" spans="1:6" ht="15.75">
      <c r="A4" s="18" t="s">
        <v>42</v>
      </c>
      <c r="B4" s="7" t="s">
        <v>630</v>
      </c>
      <c r="C4" s="7" t="s">
        <v>631</v>
      </c>
      <c r="D4" s="7" t="s">
        <v>624</v>
      </c>
      <c r="E4" s="7" t="s">
        <v>625</v>
      </c>
      <c r="F4" s="37" t="s">
        <v>626</v>
      </c>
    </row>
    <row r="5" spans="1:6" ht="15.75">
      <c r="A5" s="18" t="s">
        <v>56</v>
      </c>
      <c r="B5" s="7" t="s">
        <v>632</v>
      </c>
      <c r="C5" s="7" t="s">
        <v>631</v>
      </c>
      <c r="D5" s="7" t="s">
        <v>624</v>
      </c>
      <c r="E5" s="7" t="s">
        <v>628</v>
      </c>
      <c r="F5" s="37" t="s">
        <v>629</v>
      </c>
    </row>
    <row r="6" spans="1:6" ht="15.75">
      <c r="A6" s="18" t="s">
        <v>28</v>
      </c>
      <c r="B6" s="7" t="s">
        <v>633</v>
      </c>
      <c r="C6" s="7" t="s">
        <v>634</v>
      </c>
      <c r="D6" s="7" t="s">
        <v>624</v>
      </c>
      <c r="E6" s="7" t="s">
        <v>635</v>
      </c>
      <c r="F6" s="37" t="s">
        <v>636</v>
      </c>
    </row>
    <row r="7" spans="1:6" ht="15.75">
      <c r="A7" s="18" t="s">
        <v>32</v>
      </c>
      <c r="B7" s="7" t="s">
        <v>637</v>
      </c>
      <c r="C7" s="7" t="s">
        <v>638</v>
      </c>
      <c r="D7" s="7" t="s">
        <v>624</v>
      </c>
      <c r="E7" s="7" t="s">
        <v>625</v>
      </c>
      <c r="F7" s="37" t="s">
        <v>639</v>
      </c>
    </row>
    <row r="8" spans="1:6" ht="15.75">
      <c r="A8" s="18" t="s">
        <v>45</v>
      </c>
      <c r="B8" s="7" t="s">
        <v>640</v>
      </c>
      <c r="C8" s="7" t="s">
        <v>638</v>
      </c>
      <c r="D8" s="7" t="s">
        <v>624</v>
      </c>
      <c r="E8" s="7" t="s">
        <v>628</v>
      </c>
      <c r="F8" s="37" t="s">
        <v>641</v>
      </c>
    </row>
    <row r="9" spans="1:6" ht="15.75">
      <c r="A9" s="18" t="s">
        <v>8</v>
      </c>
      <c r="B9" s="7" t="s">
        <v>642</v>
      </c>
      <c r="C9" s="7" t="s">
        <v>643</v>
      </c>
      <c r="D9" s="7" t="s">
        <v>624</v>
      </c>
      <c r="E9" s="7" t="s">
        <v>635</v>
      </c>
      <c r="F9" s="37" t="s">
        <v>644</v>
      </c>
    </row>
    <row r="10" spans="1:6" ht="15.75">
      <c r="A10" s="18" t="s">
        <v>48</v>
      </c>
      <c r="B10" s="7" t="s">
        <v>645</v>
      </c>
      <c r="C10" s="7" t="s">
        <v>646</v>
      </c>
      <c r="D10" s="7" t="s">
        <v>624</v>
      </c>
      <c r="E10" s="7" t="s">
        <v>625</v>
      </c>
      <c r="F10" s="37" t="s">
        <v>647</v>
      </c>
    </row>
    <row r="11" spans="1:6" ht="15.75">
      <c r="A11" s="18" t="s">
        <v>123</v>
      </c>
      <c r="B11" s="7" t="s">
        <v>648</v>
      </c>
      <c r="C11" s="7" t="s">
        <v>646</v>
      </c>
      <c r="D11" s="7" t="s">
        <v>624</v>
      </c>
      <c r="E11" s="7" t="s">
        <v>628</v>
      </c>
      <c r="F11" s="37" t="s">
        <v>641</v>
      </c>
    </row>
    <row r="12" spans="1:6" ht="15.75">
      <c r="A12" s="18" t="s">
        <v>38</v>
      </c>
      <c r="B12" s="7" t="s">
        <v>649</v>
      </c>
      <c r="C12" s="7" t="s">
        <v>650</v>
      </c>
      <c r="D12" s="7" t="s">
        <v>624</v>
      </c>
      <c r="E12" s="7" t="s">
        <v>625</v>
      </c>
      <c r="F12" s="37" t="s">
        <v>651</v>
      </c>
    </row>
    <row r="13" spans="1:6" ht="15.75">
      <c r="A13" s="18" t="s">
        <v>52</v>
      </c>
      <c r="B13" s="7" t="s">
        <v>652</v>
      </c>
      <c r="C13" s="7" t="s">
        <v>650</v>
      </c>
      <c r="D13" s="7" t="s">
        <v>624</v>
      </c>
      <c r="E13" s="7" t="s">
        <v>628</v>
      </c>
      <c r="F13" s="37" t="s">
        <v>653</v>
      </c>
    </row>
    <row r="14" spans="1:6" ht="15.75">
      <c r="A14" s="18" t="s">
        <v>110</v>
      </c>
      <c r="B14" s="7" t="s">
        <v>654</v>
      </c>
      <c r="C14" s="7" t="s">
        <v>655</v>
      </c>
      <c r="D14" s="7" t="s">
        <v>624</v>
      </c>
      <c r="E14" s="7" t="s">
        <v>625</v>
      </c>
      <c r="F14" s="37" t="s">
        <v>639</v>
      </c>
    </row>
    <row r="15" spans="1:6" ht="15.75">
      <c r="A15" s="18" t="s">
        <v>12</v>
      </c>
      <c r="B15" s="7" t="s">
        <v>656</v>
      </c>
      <c r="C15" s="7" t="s">
        <v>655</v>
      </c>
      <c r="D15" s="7" t="s">
        <v>624</v>
      </c>
      <c r="E15" s="7" t="s">
        <v>628</v>
      </c>
      <c r="F15" s="37" t="s">
        <v>641</v>
      </c>
    </row>
    <row r="16" spans="1:6" ht="15.75">
      <c r="A16" s="18" t="s">
        <v>89</v>
      </c>
      <c r="B16" s="7" t="s">
        <v>657</v>
      </c>
      <c r="C16" s="7" t="s">
        <v>658</v>
      </c>
      <c r="D16" s="7" t="s">
        <v>659</v>
      </c>
      <c r="E16" s="7" t="s">
        <v>625</v>
      </c>
      <c r="F16" s="37" t="s">
        <v>626</v>
      </c>
    </row>
    <row r="17" spans="1:6" ht="15.75">
      <c r="A17" s="18" t="s">
        <v>26</v>
      </c>
      <c r="B17" s="7" t="s">
        <v>660</v>
      </c>
      <c r="C17" s="7" t="s">
        <v>658</v>
      </c>
      <c r="D17" s="7" t="s">
        <v>659</v>
      </c>
      <c r="E17" s="7" t="s">
        <v>628</v>
      </c>
      <c r="F17" s="37" t="s">
        <v>629</v>
      </c>
    </row>
    <row r="18" spans="1:6" ht="15.75">
      <c r="A18" s="18" t="s">
        <v>67</v>
      </c>
      <c r="B18" s="7" t="s">
        <v>661</v>
      </c>
      <c r="C18" s="7" t="s">
        <v>662</v>
      </c>
      <c r="D18" s="7" t="s">
        <v>659</v>
      </c>
      <c r="E18" s="7" t="s">
        <v>625</v>
      </c>
      <c r="F18" s="37" t="s">
        <v>647</v>
      </c>
    </row>
    <row r="19" spans="1:6" ht="15.75">
      <c r="A19" s="18" t="s">
        <v>34</v>
      </c>
      <c r="B19" s="7" t="s">
        <v>663</v>
      </c>
      <c r="C19" s="7" t="s">
        <v>662</v>
      </c>
      <c r="D19" s="7" t="s">
        <v>659</v>
      </c>
      <c r="E19" s="7" t="s">
        <v>628</v>
      </c>
      <c r="F19" s="37" t="s">
        <v>641</v>
      </c>
    </row>
    <row r="20" spans="1:6" ht="15.75">
      <c r="A20" s="18" t="s">
        <v>18</v>
      </c>
      <c r="B20" s="7" t="s">
        <v>664</v>
      </c>
      <c r="C20" s="7" t="s">
        <v>665</v>
      </c>
      <c r="D20" s="7" t="s">
        <v>659</v>
      </c>
      <c r="E20" s="7" t="s">
        <v>625</v>
      </c>
      <c r="F20" s="37" t="s">
        <v>666</v>
      </c>
    </row>
    <row r="21" spans="1:6" ht="15.75">
      <c r="A21" s="18" t="s">
        <v>30</v>
      </c>
      <c r="B21" s="7" t="s">
        <v>667</v>
      </c>
      <c r="C21" s="7" t="s">
        <v>665</v>
      </c>
      <c r="D21" s="7" t="s">
        <v>659</v>
      </c>
      <c r="E21" s="7" t="s">
        <v>628</v>
      </c>
      <c r="F21" s="37" t="s">
        <v>668</v>
      </c>
    </row>
    <row r="22" spans="1:6" ht="15.75">
      <c r="A22" s="18" t="s">
        <v>50</v>
      </c>
      <c r="B22" s="7" t="s">
        <v>669</v>
      </c>
      <c r="C22" s="7" t="s">
        <v>670</v>
      </c>
      <c r="D22" s="7" t="s">
        <v>659</v>
      </c>
      <c r="E22" s="7" t="s">
        <v>625</v>
      </c>
      <c r="F22" s="37" t="s">
        <v>671</v>
      </c>
    </row>
    <row r="23" spans="1:6" ht="15.75">
      <c r="A23" s="18" t="s">
        <v>54</v>
      </c>
      <c r="B23" s="7" t="s">
        <v>672</v>
      </c>
      <c r="C23" s="7" t="s">
        <v>670</v>
      </c>
      <c r="D23" s="7" t="s">
        <v>659</v>
      </c>
      <c r="E23" s="7" t="s">
        <v>628</v>
      </c>
      <c r="F23" s="37" t="s">
        <v>629</v>
      </c>
    </row>
    <row r="24" spans="1:6" ht="15.75">
      <c r="A24" s="18" t="s">
        <v>36</v>
      </c>
      <c r="B24" s="7" t="s">
        <v>673</v>
      </c>
      <c r="C24" s="7" t="s">
        <v>674</v>
      </c>
      <c r="D24" s="7" t="s">
        <v>675</v>
      </c>
      <c r="E24" s="7" t="s">
        <v>635</v>
      </c>
      <c r="F24" s="37" t="s">
        <v>676</v>
      </c>
    </row>
    <row r="25" spans="1:6" ht="15" customHeight="1">
      <c r="A25" s="23" t="s">
        <v>21</v>
      </c>
      <c r="B25" s="24" t="s">
        <v>677</v>
      </c>
      <c r="C25" s="24" t="s">
        <v>678</v>
      </c>
      <c r="D25" s="24" t="s">
        <v>675</v>
      </c>
      <c r="E25" s="24" t="s">
        <v>635</v>
      </c>
      <c r="F25" s="38" t="s">
        <v>679</v>
      </c>
    </row>
    <row r="26" spans="1:6" ht="15.75">
      <c r="A26" s="18"/>
      <c r="B26" s="7"/>
      <c r="C26" s="7"/>
      <c r="D26" s="7"/>
      <c r="E26" s="7"/>
      <c r="F26" s="37"/>
    </row>
    <row r="27" spans="1:6" ht="15.75">
      <c r="A27" s="18"/>
      <c r="B27" s="7"/>
      <c r="C27" s="7"/>
      <c r="D27" s="7"/>
      <c r="E27" s="7"/>
      <c r="F27" s="37"/>
    </row>
    <row r="28" spans="1:6" ht="15.75">
      <c r="A28" s="18"/>
      <c r="B28" s="7"/>
      <c r="C28" s="7"/>
      <c r="D28" s="7"/>
      <c r="E28" s="7"/>
      <c r="F28" s="37"/>
    </row>
    <row r="29" spans="1:6" ht="15.75">
      <c r="A29" s="18"/>
      <c r="B29" s="7"/>
      <c r="C29" s="7"/>
      <c r="D29" s="7"/>
      <c r="E29" s="7"/>
      <c r="F29" s="37"/>
    </row>
    <row r="30" spans="1:6" ht="15.75">
      <c r="A30" s="18"/>
      <c r="B30" s="7"/>
      <c r="C30" s="7"/>
      <c r="D30" s="7"/>
      <c r="E30" s="7"/>
      <c r="F30" s="3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280C-4D3A-452B-B6DC-69703860D550}">
  <dimension ref="A1:D62"/>
  <sheetViews>
    <sheetView workbookViewId="0">
      <selection sqref="A1:D62"/>
    </sheetView>
  </sheetViews>
  <sheetFormatPr defaultRowHeight="14.25"/>
  <cols>
    <col min="2" max="2" width="17.625" style="1" customWidth="1"/>
    <col min="4" max="4" width="10.125" customWidth="1"/>
  </cols>
  <sheetData>
    <row r="1" spans="1:4" ht="15.75">
      <c r="A1" s="20" t="s">
        <v>0</v>
      </c>
      <c r="B1" s="21" t="s">
        <v>680</v>
      </c>
      <c r="C1" s="21" t="s">
        <v>681</v>
      </c>
      <c r="D1" s="22" t="s">
        <v>4</v>
      </c>
    </row>
    <row r="2" spans="1:4" ht="15.75">
      <c r="A2" s="18">
        <v>1</v>
      </c>
      <c r="B2" s="7" t="s">
        <v>622</v>
      </c>
      <c r="C2" s="7" t="s">
        <v>682</v>
      </c>
      <c r="D2" s="19">
        <v>8</v>
      </c>
    </row>
    <row r="3" spans="1:4" ht="15.75">
      <c r="A3" s="18">
        <v>2</v>
      </c>
      <c r="B3" s="7" t="s">
        <v>622</v>
      </c>
      <c r="C3" s="7" t="s">
        <v>683</v>
      </c>
      <c r="D3" s="19">
        <v>130</v>
      </c>
    </row>
    <row r="4" spans="1:4" ht="15.75">
      <c r="A4" s="18">
        <v>3</v>
      </c>
      <c r="B4" s="7" t="s">
        <v>627</v>
      </c>
      <c r="C4" s="7" t="s">
        <v>682</v>
      </c>
      <c r="D4" s="19">
        <v>10</v>
      </c>
    </row>
    <row r="5" spans="1:4" ht="15.75">
      <c r="A5" s="18">
        <v>4</v>
      </c>
      <c r="B5" s="7" t="s">
        <v>627</v>
      </c>
      <c r="C5" s="7" t="s">
        <v>683</v>
      </c>
      <c r="D5" s="19">
        <v>180</v>
      </c>
    </row>
    <row r="6" spans="1:4" ht="15.75">
      <c r="A6" s="18">
        <v>5</v>
      </c>
      <c r="B6" s="7" t="s">
        <v>630</v>
      </c>
      <c r="C6" s="7" t="s">
        <v>682</v>
      </c>
      <c r="D6" s="19">
        <v>8</v>
      </c>
    </row>
    <row r="7" spans="1:4" ht="15.75">
      <c r="A7" s="18">
        <v>6</v>
      </c>
      <c r="B7" s="7" t="s">
        <v>630</v>
      </c>
      <c r="C7" s="7" t="s">
        <v>683</v>
      </c>
      <c r="D7" s="19">
        <v>130</v>
      </c>
    </row>
    <row r="8" spans="1:4" ht="15.75">
      <c r="A8" s="18">
        <v>7</v>
      </c>
      <c r="B8" s="7" t="s">
        <v>632</v>
      </c>
      <c r="C8" s="7" t="s">
        <v>682</v>
      </c>
      <c r="D8" s="19">
        <v>10</v>
      </c>
    </row>
    <row r="9" spans="1:4" ht="15.75">
      <c r="A9" s="18">
        <v>8</v>
      </c>
      <c r="B9" s="7" t="s">
        <v>632</v>
      </c>
      <c r="C9" s="7" t="s">
        <v>683</v>
      </c>
      <c r="D9" s="19">
        <v>180</v>
      </c>
    </row>
    <row r="10" spans="1:4" ht="15.75">
      <c r="A10" s="18">
        <v>9</v>
      </c>
      <c r="B10" s="7" t="s">
        <v>633</v>
      </c>
      <c r="C10" s="7" t="s">
        <v>682</v>
      </c>
      <c r="D10" s="19">
        <v>8</v>
      </c>
    </row>
    <row r="11" spans="1:4" ht="15.75">
      <c r="A11" s="18">
        <v>10</v>
      </c>
      <c r="B11" s="7" t="s">
        <v>633</v>
      </c>
      <c r="C11" s="7" t="s">
        <v>683</v>
      </c>
      <c r="D11" s="19">
        <v>160</v>
      </c>
    </row>
    <row r="12" spans="1:4" ht="15.75">
      <c r="A12" s="18">
        <v>11</v>
      </c>
      <c r="B12" s="7" t="s">
        <v>637</v>
      </c>
      <c r="C12" s="7" t="s">
        <v>682</v>
      </c>
      <c r="D12" s="19">
        <v>8</v>
      </c>
    </row>
    <row r="13" spans="1:4" ht="15.75">
      <c r="A13" s="18">
        <v>12</v>
      </c>
      <c r="B13" s="7" t="s">
        <v>637</v>
      </c>
      <c r="C13" s="7" t="s">
        <v>683</v>
      </c>
      <c r="D13" s="19">
        <v>120</v>
      </c>
    </row>
    <row r="14" spans="1:4" ht="15.75">
      <c r="A14" s="18">
        <v>13</v>
      </c>
      <c r="B14" s="7" t="s">
        <v>637</v>
      </c>
      <c r="C14" s="7" t="s">
        <v>684</v>
      </c>
      <c r="D14" s="19">
        <v>20</v>
      </c>
    </row>
    <row r="15" spans="1:4" ht="15.75">
      <c r="A15" s="18">
        <v>14</v>
      </c>
      <c r="B15" s="7" t="s">
        <v>640</v>
      </c>
      <c r="C15" s="7" t="s">
        <v>682</v>
      </c>
      <c r="D15" s="19">
        <v>10</v>
      </c>
    </row>
    <row r="16" spans="1:4" ht="15.75">
      <c r="A16" s="18">
        <v>15</v>
      </c>
      <c r="B16" s="7" t="s">
        <v>640</v>
      </c>
      <c r="C16" s="7" t="s">
        <v>683</v>
      </c>
      <c r="D16" s="19">
        <v>160</v>
      </c>
    </row>
    <row r="17" spans="1:4" ht="15.75">
      <c r="A17" s="18">
        <v>16</v>
      </c>
      <c r="B17" s="7" t="s">
        <v>640</v>
      </c>
      <c r="C17" s="7" t="s">
        <v>684</v>
      </c>
      <c r="D17" s="19">
        <v>30</v>
      </c>
    </row>
    <row r="18" spans="1:4" ht="15.75">
      <c r="A18" s="18">
        <v>17</v>
      </c>
      <c r="B18" s="7" t="s">
        <v>642</v>
      </c>
      <c r="C18" s="7" t="s">
        <v>682</v>
      </c>
      <c r="D18" s="19">
        <v>8</v>
      </c>
    </row>
    <row r="19" spans="1:4" ht="15.75">
      <c r="A19" s="18">
        <v>18</v>
      </c>
      <c r="B19" s="7" t="s">
        <v>645</v>
      </c>
      <c r="C19" s="7" t="s">
        <v>682</v>
      </c>
      <c r="D19" s="19">
        <v>8</v>
      </c>
    </row>
    <row r="20" spans="1:4" ht="15.75">
      <c r="A20" s="18">
        <v>19</v>
      </c>
      <c r="B20" s="7" t="s">
        <v>645</v>
      </c>
      <c r="C20" s="7" t="s">
        <v>683</v>
      </c>
      <c r="D20" s="19">
        <v>120</v>
      </c>
    </row>
    <row r="21" spans="1:4" ht="15.75">
      <c r="A21" s="18">
        <v>20</v>
      </c>
      <c r="B21" s="7" t="s">
        <v>645</v>
      </c>
      <c r="C21" s="7" t="s">
        <v>685</v>
      </c>
      <c r="D21" s="19">
        <v>20</v>
      </c>
    </row>
    <row r="22" spans="1:4" ht="15.75">
      <c r="A22" s="18">
        <v>21</v>
      </c>
      <c r="B22" s="7" t="s">
        <v>648</v>
      </c>
      <c r="C22" s="7" t="s">
        <v>682</v>
      </c>
      <c r="D22" s="19">
        <v>10</v>
      </c>
    </row>
    <row r="23" spans="1:4" ht="15.75">
      <c r="A23" s="18">
        <v>22</v>
      </c>
      <c r="B23" s="7" t="s">
        <v>648</v>
      </c>
      <c r="C23" s="7" t="s">
        <v>683</v>
      </c>
      <c r="D23" s="19">
        <v>160</v>
      </c>
    </row>
    <row r="24" spans="1:4" ht="15.75">
      <c r="A24" s="18">
        <v>23</v>
      </c>
      <c r="B24" s="7" t="s">
        <v>648</v>
      </c>
      <c r="C24" s="7" t="s">
        <v>685</v>
      </c>
      <c r="D24" s="19">
        <v>30</v>
      </c>
    </row>
    <row r="25" spans="1:4" ht="15.75">
      <c r="A25" s="18">
        <v>24</v>
      </c>
      <c r="B25" s="7" t="s">
        <v>649</v>
      </c>
      <c r="C25" s="7" t="s">
        <v>682</v>
      </c>
      <c r="D25" s="19">
        <v>8</v>
      </c>
    </row>
    <row r="26" spans="1:4" ht="15.75">
      <c r="A26" s="18">
        <v>25</v>
      </c>
      <c r="B26" s="7" t="s">
        <v>649</v>
      </c>
      <c r="C26" s="7" t="s">
        <v>683</v>
      </c>
      <c r="D26" s="19">
        <v>120</v>
      </c>
    </row>
    <row r="27" spans="1:4" ht="15.75">
      <c r="A27" s="18">
        <v>26</v>
      </c>
      <c r="B27" s="7" t="s">
        <v>649</v>
      </c>
      <c r="C27" s="7" t="s">
        <v>686</v>
      </c>
      <c r="D27" s="19">
        <v>20</v>
      </c>
    </row>
    <row r="28" spans="1:4" ht="15.75">
      <c r="A28" s="18">
        <v>27</v>
      </c>
      <c r="B28" s="7" t="s">
        <v>652</v>
      </c>
      <c r="C28" s="7" t="s">
        <v>682</v>
      </c>
      <c r="D28" s="19">
        <v>10</v>
      </c>
    </row>
    <row r="29" spans="1:4" ht="15.75">
      <c r="A29" s="18">
        <v>28</v>
      </c>
      <c r="B29" s="7" t="s">
        <v>652</v>
      </c>
      <c r="C29" s="7" t="s">
        <v>683</v>
      </c>
      <c r="D29" s="19">
        <v>160</v>
      </c>
    </row>
    <row r="30" spans="1:4" ht="15.75">
      <c r="A30" s="18">
        <v>29</v>
      </c>
      <c r="B30" s="7" t="s">
        <v>652</v>
      </c>
      <c r="C30" s="7" t="s">
        <v>686</v>
      </c>
      <c r="D30" s="19">
        <v>30</v>
      </c>
    </row>
    <row r="31" spans="1:4" ht="15.75">
      <c r="A31" s="18">
        <v>30</v>
      </c>
      <c r="B31" s="7" t="s">
        <v>654</v>
      </c>
      <c r="C31" s="7" t="s">
        <v>683</v>
      </c>
      <c r="D31" s="19">
        <v>130</v>
      </c>
    </row>
    <row r="32" spans="1:4" ht="15.75">
      <c r="A32" s="18">
        <v>31</v>
      </c>
      <c r="B32" s="7" t="s">
        <v>654</v>
      </c>
      <c r="C32" s="7" t="s">
        <v>687</v>
      </c>
      <c r="D32" s="19">
        <v>25</v>
      </c>
    </row>
    <row r="33" spans="1:4" ht="15.75">
      <c r="A33" s="18">
        <v>32</v>
      </c>
      <c r="B33" s="7" t="s">
        <v>654</v>
      </c>
      <c r="C33" s="7" t="s">
        <v>688</v>
      </c>
      <c r="D33" s="19">
        <v>20</v>
      </c>
    </row>
    <row r="34" spans="1:4" ht="15.75">
      <c r="A34" s="18">
        <v>33</v>
      </c>
      <c r="B34" s="7" t="s">
        <v>654</v>
      </c>
      <c r="C34" s="7" t="s">
        <v>689</v>
      </c>
      <c r="D34" s="19">
        <v>30</v>
      </c>
    </row>
    <row r="35" spans="1:4" ht="14.25" customHeight="1">
      <c r="A35" s="18">
        <v>34</v>
      </c>
      <c r="B35" s="7" t="s">
        <v>656</v>
      </c>
      <c r="C35" s="7" t="s">
        <v>683</v>
      </c>
      <c r="D35" s="19">
        <v>180</v>
      </c>
    </row>
    <row r="36" spans="1:4" ht="15.75">
      <c r="A36" s="18">
        <v>35</v>
      </c>
      <c r="B36" s="7" t="s">
        <v>656</v>
      </c>
      <c r="C36" s="7" t="s">
        <v>687</v>
      </c>
      <c r="D36" s="19">
        <v>35</v>
      </c>
    </row>
    <row r="37" spans="1:4" ht="15.75">
      <c r="A37" s="18">
        <v>36</v>
      </c>
      <c r="B37" s="7" t="s">
        <v>656</v>
      </c>
      <c r="C37" s="7" t="s">
        <v>688</v>
      </c>
      <c r="D37" s="19">
        <v>30</v>
      </c>
    </row>
    <row r="38" spans="1:4" ht="15.75">
      <c r="A38" s="18">
        <v>37</v>
      </c>
      <c r="B38" s="7" t="s">
        <v>656</v>
      </c>
      <c r="C38" s="7" t="s">
        <v>689</v>
      </c>
      <c r="D38" s="19">
        <v>40</v>
      </c>
    </row>
    <row r="39" spans="1:4" ht="15.75">
      <c r="A39" s="18">
        <v>38</v>
      </c>
      <c r="B39" s="7" t="s">
        <v>657</v>
      </c>
      <c r="C39" s="7" t="s">
        <v>682</v>
      </c>
      <c r="D39" s="19">
        <v>8</v>
      </c>
    </row>
    <row r="40" spans="1:4" ht="15.75">
      <c r="A40" s="18">
        <v>39</v>
      </c>
      <c r="B40" s="7" t="s">
        <v>657</v>
      </c>
      <c r="C40" s="7" t="s">
        <v>683</v>
      </c>
      <c r="D40" s="19">
        <v>130</v>
      </c>
    </row>
    <row r="41" spans="1:4" ht="15.75">
      <c r="A41" s="18">
        <v>40</v>
      </c>
      <c r="B41" s="7" t="s">
        <v>660</v>
      </c>
      <c r="C41" s="7" t="s">
        <v>682</v>
      </c>
      <c r="D41" s="19">
        <v>10</v>
      </c>
    </row>
    <row r="42" spans="1:4" ht="15.75">
      <c r="A42" s="18">
        <v>41</v>
      </c>
      <c r="B42" s="7" t="s">
        <v>660</v>
      </c>
      <c r="C42" s="7" t="s">
        <v>683</v>
      </c>
      <c r="D42" s="19">
        <v>180</v>
      </c>
    </row>
    <row r="43" spans="1:4" ht="15.75">
      <c r="A43" s="18">
        <v>42</v>
      </c>
      <c r="B43" s="7" t="s">
        <v>661</v>
      </c>
      <c r="C43" s="7" t="s">
        <v>682</v>
      </c>
      <c r="D43" s="19">
        <v>8</v>
      </c>
    </row>
    <row r="44" spans="1:4" ht="15.75">
      <c r="A44" s="18">
        <v>43</v>
      </c>
      <c r="B44" s="7" t="s">
        <v>661</v>
      </c>
      <c r="C44" s="7" t="s">
        <v>683</v>
      </c>
      <c r="D44" s="19">
        <v>120</v>
      </c>
    </row>
    <row r="45" spans="1:4" ht="15.75">
      <c r="A45" s="18">
        <v>44</v>
      </c>
      <c r="B45" s="7" t="s">
        <v>661</v>
      </c>
      <c r="C45" s="7" t="s">
        <v>685</v>
      </c>
      <c r="D45" s="19">
        <v>20</v>
      </c>
    </row>
    <row r="46" spans="1:4" ht="15.75">
      <c r="A46" s="18">
        <v>45</v>
      </c>
      <c r="B46" s="7" t="s">
        <v>663</v>
      </c>
      <c r="C46" s="7" t="s">
        <v>682</v>
      </c>
      <c r="D46" s="19">
        <v>10</v>
      </c>
    </row>
    <row r="47" spans="1:4" ht="15.75">
      <c r="A47" s="18">
        <v>46</v>
      </c>
      <c r="B47" s="7" t="s">
        <v>663</v>
      </c>
      <c r="C47" s="7" t="s">
        <v>683</v>
      </c>
      <c r="D47" s="19">
        <v>160</v>
      </c>
    </row>
    <row r="48" spans="1:4" ht="15.75">
      <c r="A48" s="18">
        <v>47</v>
      </c>
      <c r="B48" s="7" t="s">
        <v>663</v>
      </c>
      <c r="C48" s="7" t="s">
        <v>685</v>
      </c>
      <c r="D48" s="19">
        <v>30</v>
      </c>
    </row>
    <row r="49" spans="1:4" ht="15.75">
      <c r="A49" s="18">
        <v>48</v>
      </c>
      <c r="B49" s="7" t="s">
        <v>664</v>
      </c>
      <c r="C49" s="7" t="s">
        <v>690</v>
      </c>
      <c r="D49" s="19">
        <v>10</v>
      </c>
    </row>
    <row r="50" spans="1:4" ht="15.75">
      <c r="A50" s="18">
        <v>49</v>
      </c>
      <c r="B50" s="7" t="s">
        <v>664</v>
      </c>
      <c r="C50" s="7" t="s">
        <v>691</v>
      </c>
      <c r="D50" s="19">
        <v>20</v>
      </c>
    </row>
    <row r="51" spans="1:4" ht="15.75">
      <c r="A51" s="18">
        <v>50</v>
      </c>
      <c r="B51" s="7" t="s">
        <v>667</v>
      </c>
      <c r="C51" s="7" t="s">
        <v>692</v>
      </c>
      <c r="D51" s="19">
        <v>15</v>
      </c>
    </row>
    <row r="52" spans="1:4" ht="15.75">
      <c r="A52" s="18">
        <v>51</v>
      </c>
      <c r="B52" s="7" t="s">
        <v>667</v>
      </c>
      <c r="C52" s="7" t="s">
        <v>691</v>
      </c>
      <c r="D52" s="19">
        <v>25</v>
      </c>
    </row>
    <row r="53" spans="1:4" ht="15.75">
      <c r="A53" s="18">
        <v>52</v>
      </c>
      <c r="B53" s="7" t="s">
        <v>669</v>
      </c>
      <c r="C53" s="7" t="s">
        <v>693</v>
      </c>
      <c r="D53" s="19">
        <v>1</v>
      </c>
    </row>
    <row r="54" spans="1:4" ht="15.75">
      <c r="A54" s="18">
        <v>53</v>
      </c>
      <c r="B54" s="7" t="s">
        <v>669</v>
      </c>
      <c r="C54" s="7" t="s">
        <v>691</v>
      </c>
      <c r="D54" s="19">
        <v>30</v>
      </c>
    </row>
    <row r="55" spans="1:4" ht="15.75">
      <c r="A55" s="18">
        <v>54</v>
      </c>
      <c r="B55" s="7" t="s">
        <v>672</v>
      </c>
      <c r="C55" s="7" t="s">
        <v>693</v>
      </c>
      <c r="D55" s="19">
        <v>1</v>
      </c>
    </row>
    <row r="56" spans="1:4" ht="15.75">
      <c r="A56" s="18">
        <v>55</v>
      </c>
      <c r="B56" s="7" t="s">
        <v>672</v>
      </c>
      <c r="C56" s="7" t="s">
        <v>691</v>
      </c>
      <c r="D56" s="19">
        <v>40</v>
      </c>
    </row>
    <row r="57" spans="1:4" ht="15.75">
      <c r="A57" s="18">
        <v>56</v>
      </c>
      <c r="B57" s="7" t="s">
        <v>673</v>
      </c>
      <c r="C57" s="7" t="s">
        <v>694</v>
      </c>
      <c r="D57" s="19">
        <v>1</v>
      </c>
    </row>
    <row r="58" spans="1:4" ht="15.75">
      <c r="A58" s="18">
        <v>57</v>
      </c>
      <c r="B58" s="7" t="s">
        <v>673</v>
      </c>
      <c r="C58" s="7" t="s">
        <v>695</v>
      </c>
      <c r="D58" s="19">
        <v>50</v>
      </c>
    </row>
    <row r="59" spans="1:4" ht="15.75">
      <c r="A59" s="18">
        <v>58</v>
      </c>
      <c r="B59" s="7" t="s">
        <v>673</v>
      </c>
      <c r="C59" s="7" t="s">
        <v>696</v>
      </c>
      <c r="D59" s="19">
        <v>20</v>
      </c>
    </row>
    <row r="60" spans="1:4" ht="15.75">
      <c r="A60" s="18">
        <v>59</v>
      </c>
      <c r="B60" s="7" t="s">
        <v>677</v>
      </c>
      <c r="C60" s="7" t="s">
        <v>694</v>
      </c>
      <c r="D60" s="19">
        <v>1</v>
      </c>
    </row>
    <row r="61" spans="1:4" ht="15.75">
      <c r="A61" s="18">
        <v>60</v>
      </c>
      <c r="B61" s="7" t="s">
        <v>677</v>
      </c>
      <c r="C61" s="7" t="s">
        <v>692</v>
      </c>
      <c r="D61" s="19">
        <v>50</v>
      </c>
    </row>
    <row r="62" spans="1:4" ht="15.75">
      <c r="A62" s="23">
        <v>61</v>
      </c>
      <c r="B62" s="24" t="s">
        <v>677</v>
      </c>
      <c r="C62" s="24" t="s">
        <v>697</v>
      </c>
      <c r="D62" s="26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2442-4686-453F-A9A1-13017E0F33DC}">
  <dimension ref="A1:E19"/>
  <sheetViews>
    <sheetView workbookViewId="0">
      <selection activeCell="F8" sqref="F8"/>
    </sheetView>
  </sheetViews>
  <sheetFormatPr defaultRowHeight="14.25"/>
  <cols>
    <col min="2" max="2" width="26.125" customWidth="1"/>
    <col min="3" max="3" width="12.25" customWidth="1"/>
    <col min="4" max="4" width="10.75" customWidth="1"/>
    <col min="5" max="5" width="12.625" style="42" bestFit="1" customWidth="1"/>
  </cols>
  <sheetData>
    <row r="1" spans="1:5" ht="15.75">
      <c r="A1" s="20" t="s">
        <v>681</v>
      </c>
      <c r="B1" s="21" t="s">
        <v>698</v>
      </c>
      <c r="C1" s="21" t="s">
        <v>699</v>
      </c>
      <c r="D1" s="21" t="s">
        <v>700</v>
      </c>
      <c r="E1" s="40" t="s">
        <v>701</v>
      </c>
    </row>
    <row r="2" spans="1:5" ht="15.75">
      <c r="A2" s="18" t="s">
        <v>682</v>
      </c>
      <c r="B2" s="7" t="s">
        <v>702</v>
      </c>
      <c r="C2" s="7">
        <v>1000</v>
      </c>
      <c r="D2" s="7" t="s">
        <v>703</v>
      </c>
      <c r="E2" s="41">
        <v>12</v>
      </c>
    </row>
    <row r="3" spans="1:5" ht="15.75">
      <c r="A3" s="18" t="s">
        <v>683</v>
      </c>
      <c r="B3" s="7" t="s">
        <v>704</v>
      </c>
      <c r="C3" s="7">
        <v>1000</v>
      </c>
      <c r="D3" s="7" t="s">
        <v>705</v>
      </c>
      <c r="E3" s="41">
        <v>1.2</v>
      </c>
    </row>
    <row r="4" spans="1:5" ht="15.75">
      <c r="A4" s="18" t="s">
        <v>696</v>
      </c>
      <c r="B4" s="7" t="s">
        <v>706</v>
      </c>
      <c r="C4" s="7">
        <v>500</v>
      </c>
      <c r="D4" s="7" t="s">
        <v>703</v>
      </c>
      <c r="E4" s="41">
        <v>7.45</v>
      </c>
    </row>
    <row r="5" spans="1:5" ht="15.75">
      <c r="A5" s="18" t="s">
        <v>697</v>
      </c>
      <c r="B5" s="7" t="s">
        <v>707</v>
      </c>
      <c r="C5" s="7">
        <v>500</v>
      </c>
      <c r="D5" s="7" t="s">
        <v>703</v>
      </c>
      <c r="E5" s="41">
        <v>5</v>
      </c>
    </row>
    <row r="6" spans="1:5" ht="15.75">
      <c r="A6" s="18" t="s">
        <v>689</v>
      </c>
      <c r="B6" s="7" t="s">
        <v>708</v>
      </c>
      <c r="C6" s="7">
        <v>300</v>
      </c>
      <c r="D6" s="7" t="s">
        <v>705</v>
      </c>
      <c r="E6" s="41">
        <v>1.35</v>
      </c>
    </row>
    <row r="7" spans="1:5" ht="15.75">
      <c r="A7" s="18" t="s">
        <v>709</v>
      </c>
      <c r="B7" s="7" t="s">
        <v>710</v>
      </c>
      <c r="C7" s="7">
        <v>1000</v>
      </c>
      <c r="D7" s="7" t="s">
        <v>705</v>
      </c>
      <c r="E7" s="41">
        <v>14.52</v>
      </c>
    </row>
    <row r="8" spans="1:5" ht="15" customHeight="1">
      <c r="A8" s="18" t="s">
        <v>685</v>
      </c>
      <c r="B8" s="7" t="s">
        <v>711</v>
      </c>
      <c r="C8" s="7">
        <v>1000</v>
      </c>
      <c r="D8" s="7" t="s">
        <v>705</v>
      </c>
      <c r="E8" s="41">
        <v>8.49</v>
      </c>
    </row>
    <row r="9" spans="1:5" ht="15" customHeight="1">
      <c r="A9" s="18" t="s">
        <v>686</v>
      </c>
      <c r="B9" s="7" t="s">
        <v>712</v>
      </c>
      <c r="C9" s="7">
        <v>1000</v>
      </c>
      <c r="D9" s="7" t="s">
        <v>705</v>
      </c>
      <c r="E9" s="43">
        <v>8.49</v>
      </c>
    </row>
    <row r="10" spans="1:5" ht="15.75">
      <c r="A10" s="18" t="s">
        <v>684</v>
      </c>
      <c r="B10" s="7" t="s">
        <v>713</v>
      </c>
      <c r="C10" s="7">
        <v>1000</v>
      </c>
      <c r="D10" s="7" t="s">
        <v>705</v>
      </c>
      <c r="E10" s="43">
        <v>8.49</v>
      </c>
    </row>
    <row r="11" spans="1:5" ht="15.75">
      <c r="A11" s="18" t="s">
        <v>691</v>
      </c>
      <c r="B11" s="7" t="s">
        <v>714</v>
      </c>
      <c r="C11" s="7">
        <v>1000</v>
      </c>
      <c r="D11" s="7" t="s">
        <v>703</v>
      </c>
      <c r="E11" s="41">
        <v>1.5</v>
      </c>
    </row>
    <row r="12" spans="1:5" ht="15.75">
      <c r="A12" s="18" t="s">
        <v>694</v>
      </c>
      <c r="B12" s="7" t="s">
        <v>715</v>
      </c>
      <c r="C12" s="7">
        <v>4</v>
      </c>
      <c r="D12" s="7" t="s">
        <v>716</v>
      </c>
      <c r="E12" s="41">
        <v>1.35</v>
      </c>
    </row>
    <row r="13" spans="1:5" ht="15.75">
      <c r="A13" s="18" t="s">
        <v>687</v>
      </c>
      <c r="B13" s="7" t="s">
        <v>717</v>
      </c>
      <c r="C13" s="7">
        <v>1000</v>
      </c>
      <c r="D13" s="7" t="s">
        <v>703</v>
      </c>
      <c r="E13" s="41">
        <v>22</v>
      </c>
    </row>
    <row r="14" spans="1:5" ht="15.75">
      <c r="A14" s="18" t="s">
        <v>688</v>
      </c>
      <c r="B14" s="7" t="s">
        <v>718</v>
      </c>
      <c r="C14" s="7">
        <v>1000</v>
      </c>
      <c r="D14" s="7" t="s">
        <v>703</v>
      </c>
      <c r="E14" s="41">
        <v>10.5</v>
      </c>
    </row>
    <row r="15" spans="1:5" ht="15.75">
      <c r="A15" s="18" t="s">
        <v>693</v>
      </c>
      <c r="B15" s="7" t="s">
        <v>719</v>
      </c>
      <c r="C15" s="7">
        <v>5</v>
      </c>
      <c r="D15" s="7" t="s">
        <v>716</v>
      </c>
      <c r="E15" s="41">
        <v>1.5</v>
      </c>
    </row>
    <row r="16" spans="1:5" ht="15.75">
      <c r="A16" s="18" t="s">
        <v>695</v>
      </c>
      <c r="B16" s="7" t="s">
        <v>720</v>
      </c>
      <c r="C16" s="7">
        <v>1000</v>
      </c>
      <c r="D16" s="7" t="s">
        <v>703</v>
      </c>
      <c r="E16" s="41">
        <v>27.5</v>
      </c>
    </row>
    <row r="17" spans="1:5" ht="15.75">
      <c r="A17" s="18" t="s">
        <v>692</v>
      </c>
      <c r="B17" s="7" t="s">
        <v>721</v>
      </c>
      <c r="C17" s="7">
        <v>1000</v>
      </c>
      <c r="D17" s="7" t="s">
        <v>703</v>
      </c>
      <c r="E17" s="41">
        <v>15.49</v>
      </c>
    </row>
    <row r="18" spans="1:5" ht="15.75">
      <c r="A18" s="18" t="s">
        <v>690</v>
      </c>
      <c r="B18" s="7" t="s">
        <v>722</v>
      </c>
      <c r="C18" s="7">
        <v>1000</v>
      </c>
      <c r="D18" s="7" t="s">
        <v>703</v>
      </c>
      <c r="E18" s="41">
        <v>16</v>
      </c>
    </row>
    <row r="19" spans="1:5">
      <c r="A19" s="27" t="s">
        <v>723</v>
      </c>
      <c r="B19" s="28" t="s">
        <v>724</v>
      </c>
      <c r="C19" s="28">
        <v>60</v>
      </c>
      <c r="D19" s="28" t="s">
        <v>705</v>
      </c>
      <c r="E19" s="44">
        <v>9.99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B017-23C4-4B3D-8BD7-3C64D048F049}">
  <dimension ref="A1:C19"/>
  <sheetViews>
    <sheetView workbookViewId="0">
      <selection sqref="A1:C19"/>
    </sheetView>
  </sheetViews>
  <sheetFormatPr defaultRowHeight="14.25"/>
  <cols>
    <col min="3" max="3" width="10.125" customWidth="1"/>
  </cols>
  <sheetData>
    <row r="1" spans="1:3" ht="15.75">
      <c r="A1" s="20" t="s">
        <v>725</v>
      </c>
      <c r="B1" s="21" t="s">
        <v>681</v>
      </c>
      <c r="C1" s="22" t="s">
        <v>4</v>
      </c>
    </row>
    <row r="2" spans="1:3" ht="15.75">
      <c r="A2" s="18" t="s">
        <v>726</v>
      </c>
      <c r="B2" s="7" t="s">
        <v>682</v>
      </c>
      <c r="C2" s="19">
        <v>4</v>
      </c>
    </row>
    <row r="3" spans="1:3" ht="15.75">
      <c r="A3" s="18" t="s">
        <v>727</v>
      </c>
      <c r="B3" s="7" t="s">
        <v>683</v>
      </c>
      <c r="C3" s="19">
        <v>55</v>
      </c>
    </row>
    <row r="4" spans="1:3" ht="15.75">
      <c r="A4" s="18" t="s">
        <v>728</v>
      </c>
      <c r="B4" s="7" t="s">
        <v>696</v>
      </c>
      <c r="C4" s="19">
        <v>1</v>
      </c>
    </row>
    <row r="5" spans="1:3" ht="15.75">
      <c r="A5" s="18" t="s">
        <v>729</v>
      </c>
      <c r="B5" s="7" t="s">
        <v>697</v>
      </c>
      <c r="C5" s="19">
        <v>4</v>
      </c>
    </row>
    <row r="6" spans="1:3" ht="15.75">
      <c r="A6" s="18" t="s">
        <v>730</v>
      </c>
      <c r="B6" s="7" t="s">
        <v>689</v>
      </c>
      <c r="C6" s="19">
        <v>7</v>
      </c>
    </row>
    <row r="7" spans="1:3" ht="15.75">
      <c r="A7" s="18" t="s">
        <v>731</v>
      </c>
      <c r="B7" s="7" t="s">
        <v>709</v>
      </c>
      <c r="C7" s="19">
        <v>3</v>
      </c>
    </row>
    <row r="8" spans="1:3" ht="15.75">
      <c r="A8" s="18" t="s">
        <v>732</v>
      </c>
      <c r="B8" s="7" t="s">
        <v>685</v>
      </c>
      <c r="C8" s="19">
        <v>3</v>
      </c>
    </row>
    <row r="9" spans="1:3" ht="15.75">
      <c r="A9" s="18" t="s">
        <v>733</v>
      </c>
      <c r="B9" s="7" t="s">
        <v>686</v>
      </c>
      <c r="C9" s="19">
        <v>4</v>
      </c>
    </row>
    <row r="10" spans="1:3" ht="15.75">
      <c r="A10" s="18" t="s">
        <v>734</v>
      </c>
      <c r="B10" s="7" t="s">
        <v>684</v>
      </c>
      <c r="C10" s="19">
        <v>1</v>
      </c>
    </row>
    <row r="11" spans="1:3" ht="15.75">
      <c r="A11" s="18" t="s">
        <v>735</v>
      </c>
      <c r="B11" s="7" t="s">
        <v>691</v>
      </c>
      <c r="C11" s="19">
        <v>4</v>
      </c>
    </row>
    <row r="12" spans="1:3" ht="15.75">
      <c r="A12" s="18" t="s">
        <v>736</v>
      </c>
      <c r="B12" s="7" t="s">
        <v>694</v>
      </c>
      <c r="C12" s="19">
        <v>20</v>
      </c>
    </row>
    <row r="13" spans="1:3" ht="15.75">
      <c r="A13" s="18" t="s">
        <v>737</v>
      </c>
      <c r="B13" s="7" t="s">
        <v>687</v>
      </c>
      <c r="C13" s="19">
        <v>5</v>
      </c>
    </row>
    <row r="14" spans="1:3" ht="15.75">
      <c r="A14" s="18" t="s">
        <v>738</v>
      </c>
      <c r="B14" s="7" t="s">
        <v>688</v>
      </c>
      <c r="C14" s="19">
        <v>2</v>
      </c>
    </row>
    <row r="15" spans="1:3" ht="15.75">
      <c r="A15" s="18" t="s">
        <v>739</v>
      </c>
      <c r="B15" s="7" t="s">
        <v>693</v>
      </c>
      <c r="C15" s="19">
        <v>10</v>
      </c>
    </row>
    <row r="16" spans="1:3" ht="15.75">
      <c r="A16" s="18" t="s">
        <v>740</v>
      </c>
      <c r="B16" s="7" t="s">
        <v>695</v>
      </c>
      <c r="C16" s="19">
        <v>3</v>
      </c>
    </row>
    <row r="17" spans="1:3" ht="15.75">
      <c r="A17" s="18" t="s">
        <v>741</v>
      </c>
      <c r="B17" s="7" t="s">
        <v>692</v>
      </c>
      <c r="C17" s="19">
        <v>2</v>
      </c>
    </row>
    <row r="18" spans="1:3" ht="15.75">
      <c r="A18" s="18" t="s">
        <v>742</v>
      </c>
      <c r="B18" s="7" t="s">
        <v>690</v>
      </c>
      <c r="C18" s="19">
        <v>2</v>
      </c>
    </row>
    <row r="19" spans="1:3" ht="15.75">
      <c r="A19" s="23" t="s">
        <v>743</v>
      </c>
      <c r="B19" s="24" t="s">
        <v>723</v>
      </c>
      <c r="C19" s="26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6DB8-5D23-4802-A0D9-1CE1E7F58D1C}">
  <dimension ref="A1:E8"/>
  <sheetViews>
    <sheetView workbookViewId="0">
      <selection activeCell="F2" sqref="F2"/>
    </sheetView>
  </sheetViews>
  <sheetFormatPr defaultColWidth="9.125" defaultRowHeight="14.25"/>
  <cols>
    <col min="1" max="1" width="9.125" style="5"/>
    <col min="2" max="2" width="11.875" style="5" customWidth="1"/>
    <col min="3" max="3" width="11.5" style="5" customWidth="1"/>
    <col min="4" max="4" width="9.75" style="5" customWidth="1"/>
    <col min="5" max="5" width="14" style="6" customWidth="1"/>
    <col min="6" max="16384" width="9.125" style="5"/>
  </cols>
  <sheetData>
    <row r="1" spans="1:5" ht="15.75">
      <c r="A1" s="20" t="s">
        <v>744</v>
      </c>
      <c r="B1" s="21" t="s">
        <v>745</v>
      </c>
      <c r="C1" s="21" t="s">
        <v>746</v>
      </c>
      <c r="D1" s="21" t="s">
        <v>747</v>
      </c>
      <c r="E1" s="22" t="s">
        <v>748</v>
      </c>
    </row>
    <row r="2" spans="1:5" ht="15.75">
      <c r="A2" s="18" t="s">
        <v>749</v>
      </c>
      <c r="B2" s="7" t="s">
        <v>750</v>
      </c>
      <c r="C2" s="7" t="s">
        <v>751</v>
      </c>
      <c r="D2" s="7" t="s">
        <v>752</v>
      </c>
      <c r="E2" s="19">
        <v>10</v>
      </c>
    </row>
    <row r="3" spans="1:5" ht="15.75">
      <c r="A3" s="18" t="s">
        <v>753</v>
      </c>
      <c r="B3" s="7" t="s">
        <v>386</v>
      </c>
      <c r="C3" s="7" t="s">
        <v>754</v>
      </c>
      <c r="D3" s="7" t="s">
        <v>752</v>
      </c>
      <c r="E3" s="19">
        <v>10</v>
      </c>
    </row>
    <row r="4" spans="1:5" ht="15.75">
      <c r="A4" s="18" t="s">
        <v>755</v>
      </c>
      <c r="B4" s="7" t="s">
        <v>349</v>
      </c>
      <c r="C4" s="7" t="s">
        <v>756</v>
      </c>
      <c r="D4" s="7" t="s">
        <v>752</v>
      </c>
      <c r="E4" s="19">
        <v>10</v>
      </c>
    </row>
    <row r="5" spans="1:5" ht="15.75">
      <c r="A5" s="23" t="s">
        <v>757</v>
      </c>
      <c r="B5" s="24" t="s">
        <v>347</v>
      </c>
      <c r="C5" s="24" t="s">
        <v>758</v>
      </c>
      <c r="D5" s="24" t="s">
        <v>752</v>
      </c>
      <c r="E5" s="26">
        <v>10</v>
      </c>
    </row>
    <row r="6" spans="1:5">
      <c r="A6" s="3"/>
      <c r="B6" s="3"/>
      <c r="C6" s="3"/>
      <c r="D6" s="3"/>
      <c r="E6" s="4"/>
    </row>
    <row r="7" spans="1:5">
      <c r="A7" s="3"/>
      <c r="B7" s="3"/>
      <c r="C7" s="3"/>
      <c r="D7" s="3"/>
      <c r="E7" s="4"/>
    </row>
    <row r="8" spans="1:5">
      <c r="A8" s="3"/>
      <c r="B8" s="3"/>
      <c r="C8" s="3"/>
      <c r="D8" s="3"/>
      <c r="E8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80D0-46D7-43B0-B1D0-3ADC4D28029C}">
  <dimension ref="A1:D13"/>
  <sheetViews>
    <sheetView workbookViewId="0">
      <selection sqref="A1:D13"/>
    </sheetView>
  </sheetViews>
  <sheetFormatPr defaultRowHeight="14.25"/>
  <cols>
    <col min="1" max="1" width="9.125" customWidth="1"/>
    <col min="2" max="2" width="14.125" customWidth="1"/>
    <col min="3" max="3" width="11.625" style="2" customWidth="1"/>
    <col min="4" max="4" width="10.875" customWidth="1"/>
  </cols>
  <sheetData>
    <row r="1" spans="1:4" ht="15" customHeight="1">
      <c r="A1" s="20" t="s">
        <v>759</v>
      </c>
      <c r="B1" s="21" t="s">
        <v>760</v>
      </c>
      <c r="C1" s="21" t="s">
        <v>761</v>
      </c>
      <c r="D1" s="22" t="s">
        <v>762</v>
      </c>
    </row>
    <row r="2" spans="1:4" ht="15.75">
      <c r="A2" s="18" t="s">
        <v>763</v>
      </c>
      <c r="B2" s="7" t="s">
        <v>764</v>
      </c>
      <c r="C2" s="17">
        <v>0.29166666666666669</v>
      </c>
      <c r="D2" s="29">
        <v>0.54166666666666663</v>
      </c>
    </row>
    <row r="3" spans="1:4" ht="15.75">
      <c r="A3" s="18" t="s">
        <v>765</v>
      </c>
      <c r="B3" s="7" t="s">
        <v>764</v>
      </c>
      <c r="C3" s="17">
        <v>0.54166666666666663</v>
      </c>
      <c r="D3" s="29">
        <v>0.70833333333333337</v>
      </c>
    </row>
    <row r="4" spans="1:4" ht="15.75">
      <c r="A4" s="18" t="s">
        <v>766</v>
      </c>
      <c r="B4" s="7" t="s">
        <v>767</v>
      </c>
      <c r="C4" s="17">
        <v>0.29166666666666669</v>
      </c>
      <c r="D4" s="29">
        <v>0.54166666666666663</v>
      </c>
    </row>
    <row r="5" spans="1:4" ht="15.75">
      <c r="A5" s="18" t="s">
        <v>768</v>
      </c>
      <c r="B5" s="7" t="s">
        <v>767</v>
      </c>
      <c r="C5" s="17">
        <v>0.54166666666666663</v>
      </c>
      <c r="D5" s="29">
        <v>0.70833333333333337</v>
      </c>
    </row>
    <row r="6" spans="1:4" ht="15" customHeight="1">
      <c r="A6" s="18" t="s">
        <v>769</v>
      </c>
      <c r="B6" s="7" t="s">
        <v>770</v>
      </c>
      <c r="C6" s="17">
        <v>0.29166666666666669</v>
      </c>
      <c r="D6" s="29">
        <v>0.54166666666666663</v>
      </c>
    </row>
    <row r="7" spans="1:4" ht="15" customHeight="1">
      <c r="A7" s="18" t="s">
        <v>771</v>
      </c>
      <c r="B7" s="7" t="s">
        <v>770</v>
      </c>
      <c r="C7" s="17">
        <v>0.54166666666666663</v>
      </c>
      <c r="D7" s="29">
        <v>0.70833333333333337</v>
      </c>
    </row>
    <row r="8" spans="1:4" ht="15.75">
      <c r="A8" s="18" t="s">
        <v>772</v>
      </c>
      <c r="B8" s="7" t="s">
        <v>773</v>
      </c>
      <c r="C8" s="17">
        <v>0.29166666666666669</v>
      </c>
      <c r="D8" s="29">
        <v>0.54166666666666663</v>
      </c>
    </row>
    <row r="9" spans="1:4" ht="15.75">
      <c r="A9" s="18" t="s">
        <v>774</v>
      </c>
      <c r="B9" s="7" t="s">
        <v>773</v>
      </c>
      <c r="C9" s="17">
        <v>0.54166666666666663</v>
      </c>
      <c r="D9" s="29">
        <v>0.70833333333333337</v>
      </c>
    </row>
    <row r="10" spans="1:4" ht="15.75">
      <c r="A10" s="18" t="s">
        <v>775</v>
      </c>
      <c r="B10" s="7" t="s">
        <v>776</v>
      </c>
      <c r="C10" s="17">
        <v>0.29166666666666669</v>
      </c>
      <c r="D10" s="29">
        <v>0.54166666666666663</v>
      </c>
    </row>
    <row r="11" spans="1:4" ht="15.75">
      <c r="A11" s="18" t="s">
        <v>777</v>
      </c>
      <c r="B11" s="7" t="s">
        <v>776</v>
      </c>
      <c r="C11" s="17">
        <v>0.54166666666666663</v>
      </c>
      <c r="D11" s="29">
        <v>0.70833333333333337</v>
      </c>
    </row>
    <row r="12" spans="1:4" ht="15.75">
      <c r="A12" s="18" t="s">
        <v>778</v>
      </c>
      <c r="B12" s="7" t="s">
        <v>779</v>
      </c>
      <c r="C12" s="17">
        <v>0.29166666666666669</v>
      </c>
      <c r="D12" s="29">
        <v>0.54166666666666663</v>
      </c>
    </row>
    <row r="13" spans="1:4" ht="15.75">
      <c r="A13" s="23" t="s">
        <v>780</v>
      </c>
      <c r="B13" s="24" t="s">
        <v>779</v>
      </c>
      <c r="C13" s="30">
        <v>0.54166666666666663</v>
      </c>
      <c r="D13" s="31">
        <v>0.70833333333333337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7824-82BC-4849-8F5B-00A464E9413F}">
  <dimension ref="A1:T31"/>
  <sheetViews>
    <sheetView workbookViewId="0">
      <selection sqref="A1:E19"/>
    </sheetView>
  </sheetViews>
  <sheetFormatPr defaultColWidth="9.125" defaultRowHeight="14.25"/>
  <cols>
    <col min="1" max="2" width="9.125" style="5"/>
    <col min="3" max="3" width="11.25" style="5" customWidth="1"/>
    <col min="4" max="11" width="9.125" style="5"/>
    <col min="12" max="12" width="12.375" style="5" customWidth="1"/>
    <col min="13" max="19" width="9.125" style="5"/>
    <col min="20" max="20" width="14.125" style="5" customWidth="1"/>
    <col min="21" max="16384" width="9.125" style="5"/>
  </cols>
  <sheetData>
    <row r="1" spans="1:20" ht="15" customHeight="1">
      <c r="A1" s="20" t="s">
        <v>0</v>
      </c>
      <c r="B1" s="21" t="s">
        <v>781</v>
      </c>
      <c r="C1" s="21" t="s">
        <v>782</v>
      </c>
      <c r="D1" s="21" t="s">
        <v>759</v>
      </c>
      <c r="E1" s="22" t="s">
        <v>744</v>
      </c>
      <c r="K1" s="3"/>
      <c r="L1" s="3"/>
      <c r="M1" s="13"/>
      <c r="N1" s="3"/>
      <c r="P1" s="3"/>
      <c r="Q1" s="3"/>
      <c r="R1" s="3"/>
      <c r="S1" s="3"/>
      <c r="T1" s="4"/>
    </row>
    <row r="2" spans="1:20" ht="15.75">
      <c r="A2" s="18">
        <v>1</v>
      </c>
      <c r="B2" s="7" t="s">
        <v>783</v>
      </c>
      <c r="C2" s="16">
        <v>45334</v>
      </c>
      <c r="D2" s="7" t="s">
        <v>763</v>
      </c>
      <c r="E2" s="19" t="s">
        <v>749</v>
      </c>
      <c r="K2" s="3"/>
      <c r="L2" s="3"/>
      <c r="M2" s="13"/>
      <c r="N2" s="13"/>
      <c r="P2" s="3"/>
      <c r="Q2" s="3"/>
      <c r="R2" s="3"/>
      <c r="S2" s="3"/>
      <c r="T2" s="4"/>
    </row>
    <row r="3" spans="1:20" ht="15.75">
      <c r="A3" s="18">
        <v>2</v>
      </c>
      <c r="B3" s="7" t="s">
        <v>783</v>
      </c>
      <c r="C3" s="16">
        <v>45334</v>
      </c>
      <c r="D3" s="7" t="s">
        <v>763</v>
      </c>
      <c r="E3" s="19" t="s">
        <v>755</v>
      </c>
      <c r="K3" s="3"/>
      <c r="L3" s="3"/>
      <c r="M3" s="13"/>
      <c r="N3" s="13"/>
      <c r="P3" s="3"/>
      <c r="Q3" s="3"/>
      <c r="R3" s="3"/>
      <c r="S3" s="3"/>
      <c r="T3" s="4"/>
    </row>
    <row r="4" spans="1:20" ht="15.75">
      <c r="A4" s="18">
        <v>3</v>
      </c>
      <c r="B4" s="7" t="s">
        <v>783</v>
      </c>
      <c r="C4" s="16">
        <v>45334</v>
      </c>
      <c r="D4" s="7" t="s">
        <v>765</v>
      </c>
      <c r="E4" s="19" t="s">
        <v>749</v>
      </c>
      <c r="K4" s="3"/>
      <c r="L4" s="3"/>
      <c r="M4" s="13"/>
      <c r="N4" s="13"/>
      <c r="P4" s="3"/>
      <c r="Q4" s="3"/>
      <c r="R4" s="3"/>
      <c r="S4" s="3"/>
      <c r="T4" s="4"/>
    </row>
    <row r="5" spans="1:20" ht="15" customHeight="1">
      <c r="A5" s="18">
        <v>4</v>
      </c>
      <c r="B5" s="7" t="s">
        <v>784</v>
      </c>
      <c r="C5" s="16">
        <v>45335</v>
      </c>
      <c r="D5" s="7" t="s">
        <v>766</v>
      </c>
      <c r="E5" s="19" t="s">
        <v>753</v>
      </c>
      <c r="K5" s="3"/>
      <c r="L5" s="3"/>
      <c r="M5" s="13"/>
      <c r="N5" s="13"/>
      <c r="P5" s="3"/>
      <c r="Q5" s="3"/>
      <c r="R5" s="3"/>
      <c r="S5" s="3"/>
      <c r="T5" s="4"/>
    </row>
    <row r="6" spans="1:20" ht="15.75">
      <c r="A6" s="18">
        <v>5</v>
      </c>
      <c r="B6" s="7" t="s">
        <v>784</v>
      </c>
      <c r="C6" s="16">
        <v>45335</v>
      </c>
      <c r="D6" s="7" t="s">
        <v>766</v>
      </c>
      <c r="E6" s="19" t="s">
        <v>757</v>
      </c>
      <c r="K6" s="3"/>
      <c r="L6" s="3"/>
      <c r="M6" s="13"/>
      <c r="N6" s="13"/>
      <c r="P6" s="3"/>
      <c r="Q6" s="3"/>
      <c r="R6" s="3"/>
      <c r="S6" s="3"/>
      <c r="T6" s="4"/>
    </row>
    <row r="7" spans="1:20" ht="15.75">
      <c r="A7" s="18">
        <v>6</v>
      </c>
      <c r="B7" s="7" t="s">
        <v>784</v>
      </c>
      <c r="C7" s="16">
        <v>45335</v>
      </c>
      <c r="D7" s="7" t="s">
        <v>768</v>
      </c>
      <c r="E7" s="19" t="s">
        <v>753</v>
      </c>
      <c r="K7" s="3"/>
      <c r="L7" s="3"/>
      <c r="M7" s="13"/>
      <c r="N7" s="13"/>
    </row>
    <row r="8" spans="1:20" ht="15.75">
      <c r="A8" s="18">
        <v>7</v>
      </c>
      <c r="B8" s="7" t="s">
        <v>785</v>
      </c>
      <c r="C8" s="16">
        <v>45336</v>
      </c>
      <c r="D8" s="7" t="s">
        <v>769</v>
      </c>
      <c r="E8" s="19" t="s">
        <v>749</v>
      </c>
      <c r="K8" s="3"/>
      <c r="L8" s="3"/>
      <c r="M8" s="13"/>
      <c r="N8" s="13"/>
    </row>
    <row r="9" spans="1:20" ht="15.75">
      <c r="A9" s="18">
        <v>8</v>
      </c>
      <c r="B9" s="7" t="s">
        <v>785</v>
      </c>
      <c r="C9" s="16">
        <v>45336</v>
      </c>
      <c r="D9" s="7" t="s">
        <v>769</v>
      </c>
      <c r="E9" s="19" t="s">
        <v>755</v>
      </c>
      <c r="K9" s="3"/>
      <c r="L9" s="3"/>
      <c r="M9" s="13"/>
      <c r="N9" s="13"/>
    </row>
    <row r="10" spans="1:20" ht="15.75">
      <c r="A10" s="18">
        <v>9</v>
      </c>
      <c r="B10" s="7" t="s">
        <v>785</v>
      </c>
      <c r="C10" s="16">
        <v>45336</v>
      </c>
      <c r="D10" s="7" t="s">
        <v>771</v>
      </c>
      <c r="E10" s="19" t="s">
        <v>755</v>
      </c>
      <c r="K10" s="3"/>
      <c r="L10" s="3"/>
      <c r="M10" s="13"/>
      <c r="N10" s="13"/>
    </row>
    <row r="11" spans="1:20" ht="15.75">
      <c r="A11" s="18">
        <v>10</v>
      </c>
      <c r="B11" s="7" t="s">
        <v>786</v>
      </c>
      <c r="C11" s="16">
        <v>45337</v>
      </c>
      <c r="D11" s="7" t="s">
        <v>772</v>
      </c>
      <c r="E11" s="19" t="s">
        <v>753</v>
      </c>
    </row>
    <row r="12" spans="1:20" ht="15.75">
      <c r="A12" s="18">
        <v>11</v>
      </c>
      <c r="B12" s="7" t="s">
        <v>786</v>
      </c>
      <c r="C12" s="16">
        <v>45337</v>
      </c>
      <c r="D12" s="7" t="s">
        <v>772</v>
      </c>
      <c r="E12" s="19" t="s">
        <v>757</v>
      </c>
    </row>
    <row r="13" spans="1:20" ht="15.75">
      <c r="A13" s="18">
        <v>12</v>
      </c>
      <c r="B13" s="7" t="s">
        <v>786</v>
      </c>
      <c r="C13" s="16">
        <v>45337</v>
      </c>
      <c r="D13" s="7" t="s">
        <v>774</v>
      </c>
      <c r="E13" s="19" t="s">
        <v>757</v>
      </c>
    </row>
    <row r="14" spans="1:20" ht="15.75">
      <c r="A14" s="18">
        <v>13</v>
      </c>
      <c r="B14" s="7" t="s">
        <v>787</v>
      </c>
      <c r="C14" s="16">
        <v>45338</v>
      </c>
      <c r="D14" s="7" t="s">
        <v>775</v>
      </c>
      <c r="E14" s="19" t="s">
        <v>749</v>
      </c>
    </row>
    <row r="15" spans="1:20" ht="15.75">
      <c r="A15" s="18">
        <v>14</v>
      </c>
      <c r="B15" s="7" t="s">
        <v>787</v>
      </c>
      <c r="C15" s="16">
        <v>45338</v>
      </c>
      <c r="D15" s="7" t="s">
        <v>775</v>
      </c>
      <c r="E15" s="19" t="s">
        <v>753</v>
      </c>
    </row>
    <row r="16" spans="1:20" ht="15.75">
      <c r="A16" s="18">
        <v>15</v>
      </c>
      <c r="B16" s="7" t="s">
        <v>787</v>
      </c>
      <c r="C16" s="16">
        <v>45338</v>
      </c>
      <c r="D16" s="7" t="s">
        <v>777</v>
      </c>
      <c r="E16" s="19" t="s">
        <v>753</v>
      </c>
    </row>
    <row r="17" spans="1:5" ht="15.75">
      <c r="A17" s="18">
        <v>16</v>
      </c>
      <c r="B17" s="7" t="s">
        <v>788</v>
      </c>
      <c r="C17" s="16">
        <v>45339</v>
      </c>
      <c r="D17" s="7" t="s">
        <v>778</v>
      </c>
      <c r="E17" s="19" t="s">
        <v>755</v>
      </c>
    </row>
    <row r="18" spans="1:5" ht="15.75">
      <c r="A18" s="18">
        <v>17</v>
      </c>
      <c r="B18" s="7" t="s">
        <v>788</v>
      </c>
      <c r="C18" s="16">
        <v>45339</v>
      </c>
      <c r="D18" s="7" t="s">
        <v>778</v>
      </c>
      <c r="E18" s="19" t="s">
        <v>757</v>
      </c>
    </row>
    <row r="19" spans="1:5" ht="15.75">
      <c r="A19" s="23">
        <v>18</v>
      </c>
      <c r="B19" s="24" t="s">
        <v>788</v>
      </c>
      <c r="C19" s="32">
        <v>45339</v>
      </c>
      <c r="D19" s="24" t="s">
        <v>780</v>
      </c>
      <c r="E19" s="26" t="s">
        <v>757</v>
      </c>
    </row>
    <row r="20" spans="1:5">
      <c r="A20" s="14"/>
      <c r="B20" s="14"/>
      <c r="C20" s="15"/>
      <c r="D20" s="14"/>
      <c r="E20" s="14"/>
    </row>
    <row r="21" spans="1:5">
      <c r="A21" s="14"/>
      <c r="B21" s="14"/>
      <c r="C21" s="15"/>
      <c r="D21" s="14"/>
      <c r="E21" s="14"/>
    </row>
    <row r="22" spans="1:5">
      <c r="A22" s="14"/>
      <c r="B22" s="14"/>
      <c r="C22" s="15"/>
      <c r="D22" s="14"/>
      <c r="E22" s="14"/>
    </row>
    <row r="23" spans="1:5">
      <c r="A23" s="14"/>
      <c r="B23" s="14"/>
      <c r="C23" s="15"/>
      <c r="D23" s="14"/>
      <c r="E23" s="14"/>
    </row>
    <row r="24" spans="1:5">
      <c r="A24" s="14"/>
      <c r="B24" s="14"/>
      <c r="C24" s="15"/>
      <c r="D24" s="14"/>
      <c r="E24" s="14"/>
    </row>
    <row r="25" spans="1:5">
      <c r="A25" s="14"/>
      <c r="B25" s="14"/>
      <c r="C25" s="15"/>
      <c r="D25" s="14"/>
      <c r="E25" s="14"/>
    </row>
    <row r="26" spans="1:5">
      <c r="A26" s="14"/>
      <c r="B26" s="14"/>
      <c r="C26" s="15"/>
      <c r="D26" s="14"/>
      <c r="E26" s="14"/>
    </row>
    <row r="27" spans="1:5">
      <c r="A27" s="14"/>
      <c r="B27" s="14"/>
      <c r="C27" s="15"/>
      <c r="D27" s="14"/>
      <c r="E27" s="14"/>
    </row>
    <row r="28" spans="1:5">
      <c r="A28" s="14"/>
      <c r="B28" s="14"/>
      <c r="C28" s="15"/>
      <c r="D28" s="14"/>
      <c r="E28" s="14"/>
    </row>
    <row r="29" spans="1:5">
      <c r="A29" s="14"/>
      <c r="B29" s="14"/>
      <c r="C29" s="15"/>
      <c r="D29" s="14"/>
      <c r="E29" s="14"/>
    </row>
    <row r="30" spans="1:5">
      <c r="A30" s="14"/>
      <c r="B30" s="14"/>
      <c r="C30" s="15"/>
      <c r="D30" s="14"/>
      <c r="E30" s="14"/>
    </row>
    <row r="31" spans="1:5">
      <c r="A31" s="14"/>
      <c r="B31" s="14"/>
      <c r="C31" s="15"/>
      <c r="D31" s="14"/>
      <c r="E31" s="1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75E62B-DDF3-4261-A31D-10DD3F4D52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</vt:lpstr>
      <vt:lpstr>orders</vt:lpstr>
      <vt:lpstr>Cleaned_Items</vt:lpstr>
      <vt:lpstr>items</vt:lpstr>
      <vt:lpstr>recipes</vt:lpstr>
      <vt:lpstr>ingredients</vt:lpstr>
      <vt:lpstr>inventory</vt:lpstr>
      <vt:lpstr>staff</vt:lpstr>
      <vt:lpstr>shift</vt:lpstr>
      <vt:lpstr>rota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salaudeen</cp:lastModifiedBy>
  <cp:revision/>
  <dcterms:created xsi:type="dcterms:W3CDTF">2024-03-15T16:16:18Z</dcterms:created>
  <dcterms:modified xsi:type="dcterms:W3CDTF">2026-07-01T23:11:38Z</dcterms:modified>
  <cp:category/>
  <cp:contentStatus/>
</cp:coreProperties>
</file>